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D:\Users\USERX\Desktop\信望愛\2026信望愛\"/>
    </mc:Choice>
  </mc:AlternateContent>
  <bookViews>
    <workbookView xWindow="-120" yWindow="-120" windowWidth="29040" windowHeight="15720"/>
  </bookViews>
  <sheets>
    <sheet name="奉獻明細" sheetId="1" r:id="rId1"/>
    <sheet name="姓名檔" sheetId="2" r:id="rId2"/>
    <sheet name="各月累計" sheetId="17" r:id="rId3"/>
    <sheet name="樞紐分析" sheetId="5" r:id="rId4"/>
    <sheet name="一月份" sheetId="10" r:id="rId5"/>
    <sheet name="二月份" sheetId="4" r:id="rId6"/>
    <sheet name="三月份" sheetId="6" r:id="rId7"/>
    <sheet name="四月份" sheetId="7" r:id="rId8"/>
    <sheet name="五月份" sheetId="8" r:id="rId9"/>
    <sheet name="六月份" sheetId="9" r:id="rId10"/>
    <sheet name="七月份" sheetId="11" r:id="rId11"/>
    <sheet name="八月份" sheetId="13" r:id="rId12"/>
    <sheet name="九月份" sheetId="12" r:id="rId13"/>
    <sheet name="十月份" sheetId="14" r:id="rId14"/>
    <sheet name="十一月份" sheetId="15" r:id="rId15"/>
    <sheet name="十二月份" sheetId="16" r:id="rId16"/>
  </sheets>
  <definedNames>
    <definedName name="_xlnm._FilterDatabase" localSheetId="0" hidden="1">奉獻明細!$A$3:$L$566</definedName>
  </definedNames>
  <calcPr calcId="152511"/>
  <pivotCaches>
    <pivotCache cacheId="0" r:id="rId17"/>
    <pivotCache cacheId="1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93" i="1" l="1"/>
  <c r="L186" i="1"/>
  <c r="L181" i="1" l="1"/>
  <c r="L174" i="1" l="1"/>
  <c r="E162" i="1" l="1"/>
  <c r="E160" i="1"/>
  <c r="L166" i="1" l="1"/>
  <c r="L156" i="1" l="1"/>
  <c r="M181" i="1" s="1"/>
  <c r="L148" i="1" l="1"/>
  <c r="L143" i="1" l="1"/>
  <c r="L136" i="1"/>
  <c r="L128" i="1"/>
  <c r="L121" i="1" l="1"/>
  <c r="M148" i="1" s="1"/>
  <c r="L114" i="1" l="1"/>
  <c r="L109" i="1" l="1"/>
  <c r="L105" i="1" l="1"/>
  <c r="E80" i="1" l="1"/>
  <c r="E75" i="1"/>
  <c r="L97" i="1"/>
  <c r="M114" i="1" s="1"/>
  <c r="L89" i="1" l="1"/>
  <c r="L81" i="1" l="1"/>
  <c r="L77" i="1" l="1"/>
  <c r="B72" i="1"/>
  <c r="C72" i="1"/>
  <c r="E72" i="1"/>
  <c r="G72" i="1"/>
  <c r="L64" i="1" l="1"/>
  <c r="B58" i="1"/>
  <c r="C58" i="1"/>
  <c r="E58" i="1"/>
  <c r="G58" i="1"/>
  <c r="L57" i="1" l="1"/>
  <c r="M89" i="1" s="1"/>
  <c r="H339" i="1" l="1"/>
  <c r="H340" i="1"/>
  <c r="H324" i="1"/>
  <c r="H306" i="1"/>
  <c r="H307" i="1"/>
  <c r="H308" i="1"/>
  <c r="H298" i="1"/>
  <c r="H299" i="1"/>
  <c r="H291" i="1"/>
  <c r="H292" i="1"/>
  <c r="H293" i="1"/>
  <c r="H285" i="1"/>
  <c r="H277" i="1"/>
  <c r="H278" i="1"/>
  <c r="H275" i="1"/>
  <c r="H265" i="1"/>
  <c r="H260" i="1"/>
  <c r="H256" i="1"/>
  <c r="H239" i="1"/>
  <c r="H231" i="1"/>
  <c r="H225" i="1"/>
  <c r="H226" i="1"/>
  <c r="H227" i="1"/>
  <c r="H211" i="1"/>
  <c r="H212" i="1"/>
  <c r="H213" i="1"/>
  <c r="H214" i="1"/>
  <c r="H215" i="1"/>
  <c r="H216" i="1"/>
  <c r="H217" i="1"/>
  <c r="H218" i="1"/>
  <c r="H219" i="1"/>
  <c r="H202" i="1"/>
  <c r="H203" i="1"/>
  <c r="L53" i="1"/>
  <c r="H195" i="1"/>
  <c r="H190" i="1"/>
  <c r="H183" i="1"/>
  <c r="H184" i="1"/>
  <c r="H173" i="1"/>
  <c r="H174" i="1"/>
  <c r="H165" i="1"/>
  <c r="H160" i="1"/>
  <c r="H147" i="1"/>
  <c r="H148" i="1"/>
  <c r="H149" i="1"/>
  <c r="H151" i="1"/>
  <c r="H153" i="1"/>
  <c r="H154" i="1"/>
  <c r="H135" i="1"/>
  <c r="H136" i="1"/>
  <c r="H138" i="1"/>
  <c r="H139" i="1"/>
  <c r="H140" i="1"/>
  <c r="H141" i="1"/>
  <c r="H120" i="1"/>
  <c r="H121" i="1"/>
  <c r="H124" i="1"/>
  <c r="H125" i="1"/>
  <c r="H101" i="1"/>
  <c r="H102" i="1"/>
  <c r="H103" i="1"/>
  <c r="H93" i="1"/>
  <c r="H94" i="1"/>
  <c r="H95" i="1"/>
  <c r="H87" i="1"/>
  <c r="H88" i="1"/>
  <c r="H81" i="1"/>
  <c r="H74" i="1"/>
  <c r="H63" i="1"/>
  <c r="H52" i="1"/>
  <c r="L49" i="1" l="1"/>
  <c r="H48" i="1"/>
  <c r="L42" i="1" l="1"/>
  <c r="H41" i="1"/>
  <c r="L37" i="1" l="1"/>
  <c r="M53" i="1" s="1"/>
  <c r="H36" i="1"/>
  <c r="E31" i="1"/>
  <c r="L30" i="1" l="1"/>
  <c r="H30" i="1"/>
  <c r="E17" i="1" l="1"/>
  <c r="L24" i="1" l="1"/>
  <c r="H20" i="1"/>
  <c r="G20" i="1"/>
  <c r="E20" i="1"/>
  <c r="C20" i="1"/>
  <c r="B20" i="1"/>
  <c r="L14" i="1" l="1"/>
  <c r="L13" i="1"/>
  <c r="H11" i="1"/>
  <c r="L7" i="1" l="1"/>
  <c r="M30" i="1" s="1"/>
  <c r="H40" i="1"/>
  <c r="E40" i="1"/>
  <c r="E124" i="1"/>
  <c r="E233" i="1"/>
  <c r="E236" i="1"/>
  <c r="E247" i="1"/>
  <c r="E271" i="1"/>
  <c r="H322" i="1"/>
  <c r="E317" i="1"/>
  <c r="E318" i="1"/>
  <c r="E319" i="1"/>
  <c r="E320" i="1"/>
  <c r="E321" i="1"/>
  <c r="E322" i="1"/>
  <c r="E301" i="1"/>
  <c r="H22" i="1"/>
  <c r="H24" i="1"/>
  <c r="H25" i="1"/>
  <c r="H27" i="1"/>
  <c r="E28" i="1"/>
  <c r="E24" i="1"/>
  <c r="E5" i="1"/>
  <c r="E326" i="1" l="1"/>
  <c r="E327" i="1"/>
  <c r="E293" i="1" l="1"/>
  <c r="E284" i="1" l="1"/>
  <c r="E266" i="1"/>
  <c r="E245" i="1"/>
  <c r="E232" i="1"/>
  <c r="H249" i="1" l="1"/>
  <c r="H250" i="1"/>
  <c r="H251" i="1"/>
  <c r="B262" i="1" l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183" i="1"/>
  <c r="B182" i="1"/>
  <c r="C183" i="1" l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182" i="1"/>
  <c r="H182" i="1" l="1"/>
  <c r="E154" i="1" l="1"/>
  <c r="B121" i="1" l="1"/>
  <c r="C121" i="1"/>
  <c r="E121" i="1"/>
  <c r="G121" i="1"/>
  <c r="C65" i="1"/>
  <c r="C66" i="1"/>
  <c r="C67" i="1"/>
  <c r="C68" i="1"/>
  <c r="C69" i="1"/>
  <c r="C70" i="1"/>
  <c r="C71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562" i="1"/>
  <c r="C563" i="1"/>
  <c r="C564" i="1"/>
  <c r="C565" i="1"/>
  <c r="C566" i="1"/>
  <c r="C64" i="1"/>
  <c r="B104" i="1"/>
  <c r="E104" i="1"/>
  <c r="G104" i="1"/>
  <c r="B110" i="1"/>
  <c r="B90" i="1" l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5" i="1"/>
  <c r="B106" i="1"/>
  <c r="B107" i="1"/>
  <c r="B108" i="1"/>
  <c r="B109" i="1"/>
  <c r="B111" i="1"/>
  <c r="B112" i="1"/>
  <c r="B113" i="1"/>
  <c r="B114" i="1"/>
  <c r="B115" i="1"/>
  <c r="B116" i="1"/>
  <c r="B117" i="1"/>
  <c r="B118" i="1"/>
  <c r="B119" i="1"/>
  <c r="B120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80" i="1"/>
  <c r="B81" i="1"/>
  <c r="B82" i="1"/>
  <c r="B83" i="1"/>
  <c r="B84" i="1"/>
  <c r="B85" i="1"/>
  <c r="B86" i="1"/>
  <c r="B87" i="1"/>
  <c r="B88" i="1"/>
  <c r="B89" i="1"/>
  <c r="B79" i="1"/>
  <c r="B75" i="1"/>
  <c r="B76" i="1"/>
  <c r="B77" i="1"/>
  <c r="B78" i="1"/>
  <c r="B74" i="1"/>
  <c r="B70" i="1"/>
  <c r="B71" i="1"/>
  <c r="B73" i="1"/>
  <c r="B69" i="1"/>
  <c r="B64" i="1"/>
  <c r="B65" i="1"/>
  <c r="B66" i="1"/>
  <c r="B67" i="1"/>
  <c r="B68" i="1"/>
  <c r="E63" i="1" l="1"/>
  <c r="E42" i="1" l="1"/>
  <c r="E29" i="1"/>
  <c r="E19" i="1"/>
  <c r="E4" i="1"/>
  <c r="B27" i="1" l="1"/>
  <c r="C27" i="1"/>
  <c r="E27" i="1"/>
  <c r="G27" i="1"/>
  <c r="H33" i="1" l="1"/>
  <c r="G33" i="1"/>
  <c r="E33" i="1"/>
  <c r="C33" i="1"/>
  <c r="B33" i="1"/>
  <c r="G29" i="1"/>
  <c r="G30" i="1"/>
  <c r="G31" i="1"/>
  <c r="G32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28" i="1"/>
  <c r="B55" i="1" l="1"/>
  <c r="C55" i="1"/>
  <c r="E22" i="1"/>
  <c r="H18" i="1" l="1"/>
  <c r="H19" i="1"/>
  <c r="H21" i="1"/>
  <c r="H23" i="1"/>
  <c r="H29" i="1"/>
  <c r="H34" i="1"/>
  <c r="H35" i="1"/>
  <c r="H37" i="1"/>
  <c r="H38" i="1"/>
  <c r="H39" i="1"/>
  <c r="H42" i="1"/>
  <c r="H43" i="1"/>
  <c r="H46" i="1"/>
  <c r="H47" i="1"/>
  <c r="H49" i="1"/>
  <c r="H51" i="1"/>
  <c r="H53" i="1"/>
  <c r="H54" i="1"/>
  <c r="H55" i="1"/>
  <c r="H56" i="1"/>
  <c r="H57" i="1"/>
  <c r="H59" i="1"/>
  <c r="H60" i="1"/>
  <c r="H61" i="1"/>
  <c r="H64" i="1"/>
  <c r="H66" i="1"/>
  <c r="H67" i="1"/>
  <c r="H71" i="1"/>
  <c r="H73" i="1"/>
  <c r="H76" i="1"/>
  <c r="H77" i="1"/>
  <c r="H78" i="1"/>
  <c r="H79" i="1"/>
  <c r="H84" i="1"/>
  <c r="H85" i="1"/>
  <c r="H86" i="1"/>
  <c r="H89" i="1"/>
  <c r="H90" i="1"/>
  <c r="H91" i="1"/>
  <c r="H92" i="1"/>
  <c r="H96" i="1"/>
  <c r="H97" i="1"/>
  <c r="H98" i="1"/>
  <c r="H99" i="1"/>
  <c r="H100" i="1"/>
  <c r="H105" i="1"/>
  <c r="H107" i="1"/>
  <c r="H108" i="1"/>
  <c r="H109" i="1"/>
  <c r="H112" i="1"/>
  <c r="H113" i="1"/>
  <c r="H114" i="1"/>
  <c r="H117" i="1"/>
  <c r="H118" i="1"/>
  <c r="H119" i="1"/>
  <c r="H126" i="1"/>
  <c r="H127" i="1"/>
  <c r="H128" i="1"/>
  <c r="H129" i="1"/>
  <c r="H131" i="1"/>
  <c r="H132" i="1"/>
  <c r="H142" i="1"/>
  <c r="H143" i="1"/>
  <c r="H144" i="1"/>
  <c r="H145" i="1"/>
  <c r="H146" i="1"/>
  <c r="H155" i="1"/>
  <c r="H156" i="1"/>
  <c r="H161" i="1"/>
  <c r="H162" i="1"/>
  <c r="H163" i="1"/>
  <c r="H164" i="1"/>
  <c r="H169" i="1"/>
  <c r="H170" i="1"/>
  <c r="H171" i="1"/>
  <c r="H172" i="1"/>
  <c r="H177" i="1"/>
  <c r="H179" i="1"/>
  <c r="H180" i="1"/>
  <c r="H181" i="1"/>
  <c r="H185" i="1"/>
  <c r="H186" i="1"/>
  <c r="H188" i="1"/>
  <c r="H191" i="1"/>
  <c r="H192" i="1"/>
  <c r="H193" i="1"/>
  <c r="H194" i="1"/>
  <c r="H196" i="1"/>
  <c r="H197" i="1"/>
  <c r="H198" i="1"/>
  <c r="H199" i="1"/>
  <c r="H200" i="1"/>
  <c r="H201" i="1"/>
  <c r="H204" i="1"/>
  <c r="H205" i="1"/>
  <c r="H206" i="1"/>
  <c r="H207" i="1"/>
  <c r="H208" i="1"/>
  <c r="H209" i="1"/>
  <c r="H210" i="1"/>
  <c r="H220" i="1"/>
  <c r="H221" i="1"/>
  <c r="H222" i="1"/>
  <c r="H223" i="1"/>
  <c r="H224" i="1"/>
  <c r="H228" i="1"/>
  <c r="H229" i="1"/>
  <c r="H230" i="1"/>
  <c r="H232" i="1"/>
  <c r="H233" i="1"/>
  <c r="H234" i="1"/>
  <c r="H235" i="1"/>
  <c r="H236" i="1"/>
  <c r="H237" i="1"/>
  <c r="H238" i="1"/>
  <c r="H240" i="1"/>
  <c r="H241" i="1"/>
  <c r="H242" i="1"/>
  <c r="H243" i="1"/>
  <c r="H244" i="1"/>
  <c r="H245" i="1"/>
  <c r="H246" i="1"/>
  <c r="H247" i="1"/>
  <c r="H248" i="1"/>
  <c r="H252" i="1"/>
  <c r="H253" i="1"/>
  <c r="H254" i="1"/>
  <c r="H255" i="1"/>
  <c r="H257" i="1"/>
  <c r="H258" i="1"/>
  <c r="H259" i="1"/>
  <c r="H261" i="1"/>
  <c r="H262" i="1"/>
  <c r="H263" i="1"/>
  <c r="H264" i="1"/>
  <c r="H266" i="1"/>
  <c r="H267" i="1"/>
  <c r="H268" i="1"/>
  <c r="H269" i="1"/>
  <c r="H270" i="1"/>
  <c r="H271" i="1"/>
  <c r="H272" i="1"/>
  <c r="H273" i="1"/>
  <c r="H274" i="1"/>
  <c r="H276" i="1"/>
  <c r="H279" i="1"/>
  <c r="H280" i="1"/>
  <c r="H281" i="1"/>
  <c r="H282" i="1"/>
  <c r="H283" i="1"/>
  <c r="H284" i="1"/>
  <c r="H286" i="1"/>
  <c r="H287" i="1"/>
  <c r="H288" i="1"/>
  <c r="H289" i="1"/>
  <c r="H290" i="1"/>
  <c r="H294" i="1"/>
  <c r="H295" i="1"/>
  <c r="H296" i="1"/>
  <c r="H297" i="1"/>
  <c r="H300" i="1"/>
  <c r="H301" i="1"/>
  <c r="H302" i="1"/>
  <c r="H303" i="1"/>
  <c r="H304" i="1"/>
  <c r="H305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3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12" i="1"/>
  <c r="H13" i="1"/>
  <c r="H15" i="1"/>
  <c r="H10" i="1"/>
  <c r="H9" i="1"/>
  <c r="H6" i="1"/>
  <c r="H7" i="1"/>
  <c r="H8" i="1"/>
  <c r="E16" i="1"/>
  <c r="E18" i="1"/>
  <c r="E21" i="1"/>
  <c r="E23" i="1"/>
  <c r="E25" i="1"/>
  <c r="E26" i="1"/>
  <c r="E30" i="1"/>
  <c r="E32" i="1"/>
  <c r="E34" i="1"/>
  <c r="E35" i="1"/>
  <c r="E36" i="1"/>
  <c r="E37" i="1"/>
  <c r="E38" i="1"/>
  <c r="E39" i="1"/>
  <c r="E41" i="1"/>
  <c r="E43" i="1"/>
  <c r="E44" i="1"/>
  <c r="E45" i="1"/>
  <c r="E47" i="1"/>
  <c r="E48" i="1"/>
  <c r="E49" i="1"/>
  <c r="E50" i="1"/>
  <c r="E51" i="1"/>
  <c r="E52" i="1"/>
  <c r="E53" i="1"/>
  <c r="E54" i="1"/>
  <c r="E55" i="1"/>
  <c r="E56" i="1"/>
  <c r="E57" i="1"/>
  <c r="E59" i="1"/>
  <c r="E60" i="1"/>
  <c r="E61" i="1"/>
  <c r="E64" i="1"/>
  <c r="E65" i="1"/>
  <c r="E66" i="1"/>
  <c r="E67" i="1"/>
  <c r="E68" i="1"/>
  <c r="E69" i="1"/>
  <c r="E70" i="1"/>
  <c r="E71" i="1"/>
  <c r="E73" i="1"/>
  <c r="E74" i="1"/>
  <c r="E76" i="1"/>
  <c r="E77" i="1"/>
  <c r="E78" i="1"/>
  <c r="E79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2" i="1"/>
  <c r="E123" i="1"/>
  <c r="E125" i="1"/>
  <c r="E126" i="1"/>
  <c r="E127" i="1"/>
  <c r="E128" i="1"/>
  <c r="E129" i="1"/>
  <c r="E130" i="1"/>
  <c r="E132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5" i="1"/>
  <c r="E156" i="1"/>
  <c r="E157" i="1"/>
  <c r="E158" i="1"/>
  <c r="E159" i="1"/>
  <c r="E161" i="1"/>
  <c r="E163" i="1"/>
  <c r="E164" i="1"/>
  <c r="E165" i="1"/>
  <c r="E166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4" i="1"/>
  <c r="E235" i="1"/>
  <c r="E237" i="1"/>
  <c r="E238" i="1"/>
  <c r="E239" i="1"/>
  <c r="E240" i="1"/>
  <c r="E241" i="1"/>
  <c r="E242" i="1"/>
  <c r="E243" i="1"/>
  <c r="E244" i="1"/>
  <c r="E246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7" i="1"/>
  <c r="E268" i="1"/>
  <c r="E269" i="1"/>
  <c r="E270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5" i="1"/>
  <c r="E286" i="1"/>
  <c r="E287" i="1"/>
  <c r="E288" i="1"/>
  <c r="E289" i="1"/>
  <c r="E290" i="1"/>
  <c r="E291" i="1"/>
  <c r="E292" i="1"/>
  <c r="E294" i="1"/>
  <c r="E295" i="1"/>
  <c r="E296" i="1"/>
  <c r="E297" i="1"/>
  <c r="E298" i="1"/>
  <c r="E299" i="1"/>
  <c r="E300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23" i="1"/>
  <c r="E324" i="1"/>
  <c r="E325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7" i="1"/>
  <c r="E8" i="1"/>
  <c r="E9" i="1"/>
  <c r="E10" i="1"/>
  <c r="E11" i="1"/>
  <c r="E12" i="1"/>
  <c r="E13" i="1"/>
  <c r="E14" i="1"/>
  <c r="E6" i="1"/>
  <c r="G7" i="7" l="1"/>
  <c r="B22" i="1" l="1"/>
  <c r="C22" i="1"/>
  <c r="G22" i="1"/>
  <c r="B23" i="1"/>
  <c r="C23" i="1"/>
  <c r="G23" i="1"/>
  <c r="B16" i="1" l="1"/>
  <c r="C16" i="1"/>
  <c r="G16" i="1"/>
  <c r="B54" i="1" l="1"/>
  <c r="C54" i="1"/>
  <c r="B56" i="1"/>
  <c r="C56" i="1"/>
  <c r="B57" i="1"/>
  <c r="C57" i="1"/>
  <c r="B59" i="1"/>
  <c r="C59" i="1"/>
  <c r="B60" i="1"/>
  <c r="C60" i="1"/>
  <c r="B61" i="1"/>
  <c r="C61" i="1"/>
  <c r="B62" i="1"/>
  <c r="C62" i="1"/>
  <c r="B63" i="1"/>
  <c r="C63" i="1"/>
  <c r="C10" i="1" l="1"/>
  <c r="C53" i="1" l="1"/>
  <c r="B53" i="1"/>
  <c r="C52" i="1"/>
  <c r="B52" i="1"/>
  <c r="C51" i="1"/>
  <c r="B51" i="1"/>
  <c r="C50" i="1"/>
  <c r="B50" i="1"/>
  <c r="C49" i="1"/>
  <c r="B49" i="1"/>
  <c r="C48" i="1"/>
  <c r="B48" i="1"/>
  <c r="C47" i="1"/>
  <c r="B47" i="1"/>
  <c r="C46" i="1"/>
  <c r="B46" i="1"/>
  <c r="C45" i="1"/>
  <c r="B45" i="1"/>
  <c r="C44" i="1"/>
  <c r="B44" i="1"/>
  <c r="C43" i="1"/>
  <c r="B43" i="1"/>
  <c r="C42" i="1"/>
  <c r="B42" i="1"/>
  <c r="C41" i="1"/>
  <c r="B41" i="1"/>
  <c r="C40" i="1"/>
  <c r="B40" i="1"/>
  <c r="C39" i="1"/>
  <c r="B39" i="1"/>
  <c r="C38" i="1"/>
  <c r="B38" i="1"/>
  <c r="C37" i="1"/>
  <c r="B37" i="1"/>
  <c r="C36" i="1"/>
  <c r="B36" i="1"/>
  <c r="C35" i="1"/>
  <c r="B35" i="1"/>
  <c r="C34" i="1"/>
  <c r="B34" i="1"/>
  <c r="C32" i="1"/>
  <c r="B32" i="1"/>
  <c r="C31" i="1"/>
  <c r="B31" i="1"/>
  <c r="C30" i="1"/>
  <c r="B30" i="1"/>
  <c r="C29" i="1"/>
  <c r="B29" i="1"/>
  <c r="C28" i="1"/>
  <c r="B28" i="1"/>
  <c r="C26" i="1"/>
  <c r="B26" i="1"/>
  <c r="C25" i="1"/>
  <c r="B25" i="1"/>
  <c r="C24" i="1"/>
  <c r="B24" i="1"/>
  <c r="C21" i="1"/>
  <c r="B21" i="1"/>
  <c r="C19" i="1"/>
  <c r="B19" i="1"/>
  <c r="C18" i="1"/>
  <c r="B18" i="1"/>
  <c r="C17" i="1"/>
  <c r="B17" i="1"/>
  <c r="C15" i="1"/>
  <c r="B15" i="1"/>
  <c r="C14" i="1"/>
  <c r="B14" i="1"/>
  <c r="C13" i="1"/>
  <c r="B13" i="1"/>
  <c r="C12" i="1"/>
  <c r="B12" i="1"/>
  <c r="C11" i="1"/>
  <c r="B11" i="1"/>
  <c r="B10" i="1"/>
  <c r="C9" i="1"/>
  <c r="B9" i="1"/>
  <c r="C8" i="1"/>
  <c r="B8" i="1"/>
  <c r="C7" i="1"/>
  <c r="B7" i="1"/>
  <c r="C6" i="1"/>
  <c r="B6" i="1"/>
  <c r="C5" i="1"/>
  <c r="B5" i="1"/>
  <c r="C4" i="1"/>
  <c r="B4" i="1"/>
  <c r="G26" i="1"/>
  <c r="G25" i="1"/>
  <c r="G24" i="1"/>
  <c r="G21" i="1"/>
  <c r="G19" i="1"/>
  <c r="G18" i="1"/>
  <c r="G17" i="1"/>
  <c r="G15" i="1"/>
  <c r="G14" i="1"/>
  <c r="G13" i="1"/>
  <c r="G12" i="1"/>
  <c r="G11" i="1"/>
  <c r="G10" i="1"/>
  <c r="G5" i="1"/>
  <c r="G6" i="1"/>
  <c r="G7" i="1"/>
  <c r="G8" i="1"/>
  <c r="G9" i="1"/>
  <c r="G4" i="1"/>
</calcChain>
</file>

<file path=xl/sharedStrings.xml><?xml version="1.0" encoding="utf-8"?>
<sst xmlns="http://schemas.openxmlformats.org/spreadsheetml/2006/main" count="1239" uniqueCount="319">
  <si>
    <t>信望愛</t>
    <phoneticPr fontId="1" type="noConversion"/>
  </si>
  <si>
    <t>奉獻日</t>
    <phoneticPr fontId="1" type="noConversion"/>
  </si>
  <si>
    <t>月份</t>
    <phoneticPr fontId="1" type="noConversion"/>
  </si>
  <si>
    <t>週次</t>
    <phoneticPr fontId="1" type="noConversion"/>
  </si>
  <si>
    <t>姓名編號</t>
    <phoneticPr fontId="1" type="noConversion"/>
  </si>
  <si>
    <t>姓名</t>
    <phoneticPr fontId="1" type="noConversion"/>
  </si>
  <si>
    <t>奉獻項目編號</t>
    <phoneticPr fontId="1" type="noConversion"/>
  </si>
  <si>
    <t>奉獻項目</t>
    <phoneticPr fontId="1" type="noConversion"/>
  </si>
  <si>
    <t>開立支票銀行</t>
    <phoneticPr fontId="1" type="noConversion"/>
  </si>
  <si>
    <t>支票號</t>
    <phoneticPr fontId="1" type="noConversion"/>
  </si>
  <si>
    <t>奉獻金額</t>
    <phoneticPr fontId="1" type="noConversion"/>
  </si>
  <si>
    <t>存入日期</t>
    <phoneticPr fontId="1" type="noConversion"/>
  </si>
  <si>
    <t>存入金額</t>
    <phoneticPr fontId="1" type="noConversion"/>
  </si>
  <si>
    <t>各月總計</t>
    <phoneticPr fontId="1" type="noConversion"/>
  </si>
  <si>
    <t>BK Statement deposit date</t>
    <phoneticPr fontId="1" type="noConversion"/>
  </si>
  <si>
    <t>a</t>
    <phoneticPr fontId="1" type="noConversion"/>
  </si>
  <si>
    <t>Gui Ba Chai</t>
    <phoneticPr fontId="1" type="noConversion"/>
  </si>
  <si>
    <t>Stephen &amp; Hsin-Ju Shih(Amy)</t>
    <phoneticPr fontId="1" type="noConversion"/>
  </si>
  <si>
    <t>Chase</t>
    <phoneticPr fontId="1" type="noConversion"/>
  </si>
  <si>
    <t>j</t>
    <phoneticPr fontId="1" type="noConversion"/>
  </si>
  <si>
    <t>Oj Qin Pan(QQ Healing Message)</t>
    <phoneticPr fontId="1" type="noConversion"/>
  </si>
  <si>
    <t>f</t>
    <phoneticPr fontId="1" type="noConversion"/>
  </si>
  <si>
    <t>編號1</t>
    <phoneticPr fontId="1" type="noConversion"/>
  </si>
  <si>
    <t>編號2</t>
    <phoneticPr fontId="1" type="noConversion"/>
  </si>
  <si>
    <t>姓</t>
    <phoneticPr fontId="1" type="noConversion"/>
  </si>
  <si>
    <t>Bank</t>
    <phoneticPr fontId="1" type="noConversion"/>
  </si>
  <si>
    <t>備註-1</t>
    <phoneticPr fontId="1" type="noConversion"/>
  </si>
  <si>
    <t>備註-2</t>
    <phoneticPr fontId="1" type="noConversion"/>
  </si>
  <si>
    <t>其他</t>
  </si>
  <si>
    <t>余</t>
    <phoneticPr fontId="1" type="noConversion"/>
  </si>
  <si>
    <t>余牧師&amp;琳玲</t>
    <phoneticPr fontId="1" type="noConversion"/>
  </si>
  <si>
    <t>T.RowePrice</t>
    <phoneticPr fontId="1" type="noConversion"/>
  </si>
  <si>
    <t>主日奉獻</t>
    <phoneticPr fontId="1" type="noConversion"/>
  </si>
  <si>
    <t>喬</t>
    <phoneticPr fontId="1" type="noConversion"/>
  </si>
  <si>
    <t>喬阿姨Yen Pin Liu Chiao</t>
    <phoneticPr fontId="1" type="noConversion"/>
  </si>
  <si>
    <t>b</t>
    <phoneticPr fontId="1" type="noConversion"/>
  </si>
  <si>
    <t>什一奉獻</t>
    <phoneticPr fontId="1" type="noConversion"/>
  </si>
  <si>
    <t>方</t>
    <phoneticPr fontId="1" type="noConversion"/>
  </si>
  <si>
    <t>竹英</t>
    <phoneticPr fontId="1" type="noConversion"/>
  </si>
  <si>
    <t>c</t>
    <phoneticPr fontId="1" type="noConversion"/>
  </si>
  <si>
    <t>感恩奉獻</t>
    <phoneticPr fontId="1" type="noConversion"/>
  </si>
  <si>
    <t>x</t>
    <phoneticPr fontId="1" type="noConversion"/>
  </si>
  <si>
    <t>x</t>
  </si>
  <si>
    <t>d</t>
    <phoneticPr fontId="1" type="noConversion"/>
  </si>
  <si>
    <t>建堂奉獻</t>
    <phoneticPr fontId="1" type="noConversion"/>
  </si>
  <si>
    <t>Lin</t>
    <phoneticPr fontId="1" type="noConversion"/>
  </si>
  <si>
    <t>Fidelity</t>
    <phoneticPr fontId="1" type="noConversion"/>
  </si>
  <si>
    <t>e</t>
    <phoneticPr fontId="1" type="noConversion"/>
  </si>
  <si>
    <t>其他奉獻</t>
    <phoneticPr fontId="1" type="noConversion"/>
  </si>
  <si>
    <t>Irene Tentity</t>
    <phoneticPr fontId="1" type="noConversion"/>
  </si>
  <si>
    <t>Wu</t>
    <phoneticPr fontId="1" type="noConversion"/>
  </si>
  <si>
    <t>Joseph Wu&amp;Mei Chen</t>
    <phoneticPr fontId="1" type="noConversion"/>
  </si>
  <si>
    <t>宣教奉獻</t>
    <phoneticPr fontId="1" type="noConversion"/>
  </si>
  <si>
    <t>Ida Siu(蕭太)</t>
    <phoneticPr fontId="1" type="noConversion"/>
  </si>
  <si>
    <t>林</t>
    <phoneticPr fontId="1" type="noConversion"/>
  </si>
  <si>
    <t>林敏雄Mr.&amp;Mrs. Min-Shyong Lin</t>
    <phoneticPr fontId="1" type="noConversion"/>
  </si>
  <si>
    <t>10514 206th Ave. NE Redmond.WA. 98053</t>
    <phoneticPr fontId="1" type="noConversion"/>
  </si>
  <si>
    <t>一季一次基金會開收據</t>
    <phoneticPr fontId="1" type="noConversion"/>
  </si>
  <si>
    <t>g</t>
    <phoneticPr fontId="1" type="noConversion"/>
  </si>
  <si>
    <t>Lingeng Yuan袁林庚Jack</t>
    <phoneticPr fontId="1" type="noConversion"/>
  </si>
  <si>
    <t>Liu</t>
  </si>
  <si>
    <t>Bank of America</t>
    <phoneticPr fontId="1" type="noConversion"/>
  </si>
  <si>
    <t>h</t>
    <phoneticPr fontId="1" type="noConversion"/>
  </si>
  <si>
    <t>Deng</t>
    <phoneticPr fontId="1" type="noConversion"/>
  </si>
  <si>
    <t>Min Deng鄧敏 Sandy</t>
    <phoneticPr fontId="1" type="noConversion"/>
  </si>
  <si>
    <t>Wells Fargo</t>
    <phoneticPr fontId="1" type="noConversion"/>
  </si>
  <si>
    <t>i</t>
    <phoneticPr fontId="1" type="noConversion"/>
  </si>
  <si>
    <t>代收奉獻</t>
    <phoneticPr fontId="1" type="noConversion"/>
  </si>
  <si>
    <t>Fu Ching Liu劉富敬牧師</t>
    <phoneticPr fontId="1" type="noConversion"/>
  </si>
  <si>
    <t>Yu</t>
    <phoneticPr fontId="1" type="noConversion"/>
  </si>
  <si>
    <t>其他收入</t>
    <phoneticPr fontId="1" type="noConversion"/>
  </si>
  <si>
    <t>Stephanie Tsai</t>
    <phoneticPr fontId="1" type="noConversion"/>
  </si>
  <si>
    <t>Feng</t>
  </si>
  <si>
    <t>Yu Mei Feng馮俞梅</t>
    <phoneticPr fontId="1" type="noConversion"/>
  </si>
  <si>
    <t>Toni Chen</t>
    <phoneticPr fontId="1" type="noConversion"/>
  </si>
  <si>
    <t>Curtis and Charlene</t>
    <phoneticPr fontId="1" type="noConversion"/>
  </si>
  <si>
    <t>Zhao</t>
  </si>
  <si>
    <t>East West Bank</t>
    <phoneticPr fontId="1" type="noConversion"/>
  </si>
  <si>
    <t>Hong Wang 王宏(若琴)</t>
    <phoneticPr fontId="1" type="noConversion"/>
  </si>
  <si>
    <t>Lee</t>
    <phoneticPr fontId="1" type="noConversion"/>
  </si>
  <si>
    <t>Ed &amp;Allison Lee</t>
    <phoneticPr fontId="1" type="noConversion"/>
  </si>
  <si>
    <t>US Bank</t>
    <phoneticPr fontId="1" type="noConversion"/>
  </si>
  <si>
    <t>何馨</t>
    <phoneticPr fontId="1" type="noConversion"/>
  </si>
  <si>
    <t>何海云</t>
    <phoneticPr fontId="1" type="noConversion"/>
  </si>
  <si>
    <t>Chan</t>
  </si>
  <si>
    <t>Ngok Chan</t>
    <phoneticPr fontId="1" type="noConversion"/>
  </si>
  <si>
    <t>BECU</t>
    <phoneticPr fontId="1" type="noConversion"/>
  </si>
  <si>
    <t>16-1</t>
    <phoneticPr fontId="1" type="noConversion"/>
  </si>
  <si>
    <t>楊</t>
  </si>
  <si>
    <t xml:space="preserve">Yuelong Jiang蔣躍龍 楊茹 </t>
    <phoneticPr fontId="1" type="noConversion"/>
  </si>
  <si>
    <t>16-2</t>
    <phoneticPr fontId="1" type="noConversion"/>
  </si>
  <si>
    <t>母:Y.J Sophie Yang</t>
    <phoneticPr fontId="1" type="noConversion"/>
  </si>
  <si>
    <t>17-1</t>
    <phoneticPr fontId="1" type="noConversion"/>
  </si>
  <si>
    <t>Cheung</t>
    <phoneticPr fontId="1" type="noConversion"/>
  </si>
  <si>
    <t>YU Ching Cheung天香/張譽馨</t>
    <phoneticPr fontId="1" type="noConversion"/>
  </si>
  <si>
    <t>女:劉珈因</t>
    <phoneticPr fontId="1" type="noConversion"/>
  </si>
  <si>
    <t>17-2</t>
    <phoneticPr fontId="1" type="noConversion"/>
  </si>
  <si>
    <t>劉珈因Lau Ka Yan(Renee)</t>
    <phoneticPr fontId="1" type="noConversion"/>
  </si>
  <si>
    <t>Cheng</t>
  </si>
  <si>
    <t>Chui</t>
    <phoneticPr fontId="1" type="noConversion"/>
  </si>
  <si>
    <t>Frank T. Chui</t>
    <phoneticPr fontId="1" type="noConversion"/>
  </si>
  <si>
    <t>不具名</t>
    <phoneticPr fontId="1" type="noConversion"/>
  </si>
  <si>
    <t>其他</t>
    <phoneticPr fontId="1" type="noConversion"/>
  </si>
  <si>
    <t>Healing Room</t>
    <phoneticPr fontId="1" type="noConversion"/>
  </si>
  <si>
    <t>Key Bank</t>
    <phoneticPr fontId="1" type="noConversion"/>
  </si>
  <si>
    <t>22-1</t>
    <phoneticPr fontId="1" type="noConversion"/>
  </si>
  <si>
    <t>黃</t>
    <phoneticPr fontId="1" type="noConversion"/>
  </si>
  <si>
    <t>黃影芳老師Ying Fing Huang</t>
    <phoneticPr fontId="1" type="noConversion"/>
  </si>
  <si>
    <t>Ying Fing Huang22932 SE 43rd Pl Sammamish Wa 98075</t>
  </si>
  <si>
    <t>22-2</t>
    <phoneticPr fontId="1" type="noConversion"/>
  </si>
  <si>
    <t>崔</t>
    <phoneticPr fontId="1" type="noConversion"/>
  </si>
  <si>
    <t>Li Lei Cui 崔立磊</t>
    <phoneticPr fontId="1" type="noConversion"/>
  </si>
  <si>
    <t>Charles C Liu</t>
    <phoneticPr fontId="1" type="noConversion"/>
  </si>
  <si>
    <t>Hu胡</t>
  </si>
  <si>
    <t>胡穎Hu Ying</t>
    <phoneticPr fontId="1" type="noConversion"/>
  </si>
  <si>
    <t>First Tech</t>
    <phoneticPr fontId="1" type="noConversion"/>
  </si>
  <si>
    <t>Yeh</t>
    <phoneticPr fontId="1" type="noConversion"/>
  </si>
  <si>
    <t>Yvonne Chi-Ping Lan &amp; Ming Lei Yeh</t>
    <phoneticPr fontId="1" type="noConversion"/>
  </si>
  <si>
    <t>Yvonne 葉明磊</t>
    <phoneticPr fontId="1" type="noConversion"/>
  </si>
  <si>
    <t>Fine</t>
  </si>
  <si>
    <t>Sylvia Fine小元Charles</t>
    <phoneticPr fontId="1" type="noConversion"/>
  </si>
  <si>
    <t>小元</t>
    <phoneticPr fontId="1" type="noConversion"/>
  </si>
  <si>
    <t>28-1</t>
    <phoneticPr fontId="1" type="noConversion"/>
  </si>
  <si>
    <t>Hong</t>
  </si>
  <si>
    <t>Chi-Shing Jeff Hong</t>
    <phoneticPr fontId="1" type="noConversion"/>
  </si>
  <si>
    <t>National Park Foundation</t>
    <phoneticPr fontId="1" type="noConversion"/>
  </si>
  <si>
    <t>28-2</t>
    <phoneticPr fontId="1" type="noConversion"/>
  </si>
  <si>
    <t>Shu-Hua Hong</t>
  </si>
  <si>
    <t>Banner Bank</t>
  </si>
  <si>
    <t>BOA</t>
    <phoneticPr fontId="1" type="noConversion"/>
  </si>
  <si>
    <t>Fine</t>
    <phoneticPr fontId="1" type="noConversion"/>
  </si>
  <si>
    <t>Shirley Fine范媽媽</t>
    <phoneticPr fontId="1" type="noConversion"/>
  </si>
  <si>
    <t>Yang</t>
    <phoneticPr fontId="1" type="noConversion"/>
  </si>
  <si>
    <t>Kaiwen Yang(Shan Hong Kaiwen)</t>
    <phoneticPr fontId="1" type="noConversion"/>
  </si>
  <si>
    <t>Li</t>
    <phoneticPr fontId="1" type="noConversion"/>
  </si>
  <si>
    <t>JianQing Li建清</t>
    <phoneticPr fontId="1" type="noConversion"/>
  </si>
  <si>
    <t>Kevin L. Li</t>
    <phoneticPr fontId="1" type="noConversion"/>
  </si>
  <si>
    <t>Ming C Li</t>
    <phoneticPr fontId="1" type="noConversion"/>
  </si>
  <si>
    <t>35-1</t>
    <phoneticPr fontId="1" type="noConversion"/>
  </si>
  <si>
    <t>Tuntasoon</t>
    <phoneticPr fontId="1" type="noConversion"/>
  </si>
  <si>
    <t>Pwin Tuntasoon</t>
    <phoneticPr fontId="1" type="noConversion"/>
  </si>
  <si>
    <t>First Republic Bank</t>
    <phoneticPr fontId="1" type="noConversion"/>
  </si>
  <si>
    <t>35-2</t>
    <phoneticPr fontId="1" type="noConversion"/>
  </si>
  <si>
    <t>Amy Tuntasood</t>
    <phoneticPr fontId="1" type="noConversion"/>
  </si>
  <si>
    <t>35-3</t>
    <phoneticPr fontId="1" type="noConversion"/>
  </si>
  <si>
    <t>高岩Yan Gao</t>
    <phoneticPr fontId="1" type="noConversion"/>
  </si>
  <si>
    <t>Zhao</t>
    <phoneticPr fontId="1" type="noConversion"/>
  </si>
  <si>
    <t>Liping Zhao趙</t>
    <phoneticPr fontId="1" type="noConversion"/>
  </si>
  <si>
    <t>Zhang</t>
    <phoneticPr fontId="1" type="noConversion"/>
  </si>
  <si>
    <t>Larry Zhang</t>
    <phoneticPr fontId="1" type="noConversion"/>
  </si>
  <si>
    <t>胡穎兒子</t>
    <phoneticPr fontId="1" type="noConversion"/>
  </si>
  <si>
    <t>Eng</t>
  </si>
  <si>
    <t>Winnie Eng</t>
    <phoneticPr fontId="1" type="noConversion"/>
  </si>
  <si>
    <t>1847 11th Ln NE #1304 Issaquah WA 98029</t>
    <phoneticPr fontId="1" type="noConversion"/>
  </si>
  <si>
    <t>Cui</t>
  </si>
  <si>
    <t>Jin He Cui/Xia Ping Cui</t>
    <phoneticPr fontId="1" type="noConversion"/>
  </si>
  <si>
    <t>Lo</t>
    <phoneticPr fontId="1" type="noConversion"/>
  </si>
  <si>
    <t>41-1</t>
    <phoneticPr fontId="1" type="noConversion"/>
  </si>
  <si>
    <t>王</t>
    <phoneticPr fontId="1" type="noConversion"/>
  </si>
  <si>
    <t>王悅玲女兒</t>
    <phoneticPr fontId="1" type="noConversion"/>
  </si>
  <si>
    <t>41-2</t>
    <phoneticPr fontId="1" type="noConversion"/>
  </si>
  <si>
    <t>張</t>
    <phoneticPr fontId="1" type="noConversion"/>
  </si>
  <si>
    <t>Xia Lian Zhang張夏蓮</t>
    <phoneticPr fontId="1" type="noConversion"/>
  </si>
  <si>
    <t>Pacific</t>
    <phoneticPr fontId="1" type="noConversion"/>
  </si>
  <si>
    <t>Yu Ma</t>
    <phoneticPr fontId="1" type="noConversion"/>
  </si>
  <si>
    <t>Yu Mei 的朋友</t>
    <phoneticPr fontId="1" type="noConversion"/>
  </si>
  <si>
    <t>Li李</t>
    <phoneticPr fontId="1" type="noConversion"/>
  </si>
  <si>
    <t>Dong Fang Li李東方</t>
    <phoneticPr fontId="1" type="noConversion"/>
  </si>
  <si>
    <t>20710 Bending Pines Ln, Spring, TX77379</t>
    <phoneticPr fontId="1" type="noConversion"/>
  </si>
  <si>
    <t>姓名 及 編號</t>
    <phoneticPr fontId="1" type="noConversion"/>
  </si>
  <si>
    <t>加總 - 奉獻金額</t>
  </si>
  <si>
    <t>欄標籤</t>
  </si>
  <si>
    <t>列標籤</t>
  </si>
  <si>
    <t>姓名</t>
  </si>
  <si>
    <t>總計</t>
  </si>
  <si>
    <t>Stephen &amp; Hsin-Ju Shih(Amy)</t>
  </si>
  <si>
    <t>信望愛教會</t>
    <phoneticPr fontId="1" type="noConversion"/>
  </si>
  <si>
    <t>月份</t>
  </si>
  <si>
    <t>週次</t>
  </si>
  <si>
    <t>(全部)</t>
  </si>
  <si>
    <t>20710 Bending Pines Ln, Spring, TX77379</t>
  </si>
  <si>
    <t>主日奉獻</t>
  </si>
  <si>
    <t>其他收入</t>
  </si>
  <si>
    <t>(空白)</t>
  </si>
  <si>
    <t>#N/A</t>
  </si>
  <si>
    <t>Yu Sophie Yang</t>
  </si>
  <si>
    <t>Christopher Liu Pamela Yu Liu</t>
  </si>
  <si>
    <t>Lo</t>
  </si>
  <si>
    <t>Hung-Ben David Lo</t>
  </si>
  <si>
    <t>WenQing Wendy Qi &amp;Peng Paul Lin</t>
  </si>
  <si>
    <t>王思旭 Sixu Wang(王悅玲)</t>
  </si>
  <si>
    <t>Ling Wang王Xin</t>
  </si>
  <si>
    <t>Liya Xia</t>
    <phoneticPr fontId="1" type="noConversion"/>
  </si>
  <si>
    <t>($832)9月初存入</t>
    <phoneticPr fontId="1" type="noConversion"/>
  </si>
  <si>
    <t>Suk Kuen Chan Lo Pastor Rainbow</t>
    <phoneticPr fontId="1" type="noConversion"/>
  </si>
  <si>
    <t>Xia</t>
    <phoneticPr fontId="1" type="noConversion"/>
  </si>
  <si>
    <t>Fidelity</t>
    <phoneticPr fontId="1" type="noConversion"/>
  </si>
  <si>
    <t>a</t>
    <phoneticPr fontId="1" type="noConversion"/>
  </si>
  <si>
    <t>v</t>
    <phoneticPr fontId="1" type="noConversion"/>
  </si>
  <si>
    <t>+</t>
    <phoneticPr fontId="1" type="noConversion"/>
  </si>
  <si>
    <t>=</t>
    <phoneticPr fontId="1" type="noConversion"/>
  </si>
  <si>
    <t>-</t>
    <phoneticPr fontId="1" type="noConversion"/>
  </si>
  <si>
    <t>923(6/28奉獻)</t>
    <phoneticPr fontId="1" type="noConversion"/>
  </si>
  <si>
    <t>+</t>
    <phoneticPr fontId="1" type="noConversion"/>
  </si>
  <si>
    <t>832(8/31奉獻)</t>
    <phoneticPr fontId="1" type="noConversion"/>
  </si>
  <si>
    <t>200(9/28奉獻)</t>
    <phoneticPr fontId="1" type="noConversion"/>
  </si>
  <si>
    <t>679(3/30奉獻)</t>
    <phoneticPr fontId="1" type="noConversion"/>
  </si>
  <si>
    <t>1750(12/29奉獻)</t>
    <phoneticPr fontId="1" type="noConversion"/>
  </si>
  <si>
    <t>5000(12/31奉獻)</t>
    <phoneticPr fontId="1" type="noConversion"/>
  </si>
  <si>
    <t>Bank Statement 存入金額</t>
    <phoneticPr fontId="1" type="noConversion"/>
  </si>
  <si>
    <t>=</t>
    <phoneticPr fontId="1" type="noConversion"/>
  </si>
  <si>
    <t>+</t>
    <phoneticPr fontId="1" type="noConversion"/>
  </si>
  <si>
    <t>2500美沂還款</t>
    <phoneticPr fontId="1" type="noConversion"/>
  </si>
  <si>
    <t>-</t>
    <phoneticPr fontId="1" type="noConversion"/>
  </si>
  <si>
    <t>798(11/30奉獻)</t>
    <phoneticPr fontId="1" type="noConversion"/>
  </si>
  <si>
    <t>=</t>
    <phoneticPr fontId="1" type="noConversion"/>
  </si>
  <si>
    <t>2026奉獻</t>
  </si>
  <si>
    <t>2026年奉獻徵信</t>
  </si>
  <si>
    <t>人民幣 ¥8</t>
    <phoneticPr fontId="1" type="noConversion"/>
  </si>
  <si>
    <t>Stephen &amp; Hsin-Ju Shih(Amy)</t>
    <phoneticPr fontId="1" type="noConversion"/>
  </si>
  <si>
    <t>Yvonne L Waver</t>
  </si>
  <si>
    <t>Lie Chang Zhu</t>
    <phoneticPr fontId="1" type="noConversion"/>
  </si>
  <si>
    <t>吳小紅</t>
    <phoneticPr fontId="1" type="noConversion"/>
  </si>
  <si>
    <t>Si Qi Wang</t>
    <phoneticPr fontId="1" type="noConversion"/>
  </si>
  <si>
    <t>Quo Fang Shi</t>
    <phoneticPr fontId="1" type="noConversion"/>
  </si>
  <si>
    <t>Hong Wang</t>
    <phoneticPr fontId="1" type="noConversion"/>
  </si>
  <si>
    <t>Li Yang 劉勇</t>
    <phoneticPr fontId="1" type="noConversion"/>
  </si>
  <si>
    <t>Yu Y Kang, Lie Chang Zhu</t>
    <phoneticPr fontId="1" type="noConversion"/>
  </si>
  <si>
    <t>Xing Chen Lu-Michell</t>
    <phoneticPr fontId="1" type="noConversion"/>
  </si>
  <si>
    <t>b</t>
    <phoneticPr fontId="1" type="noConversion"/>
  </si>
  <si>
    <t>a</t>
    <phoneticPr fontId="1" type="noConversion"/>
  </si>
  <si>
    <t>Chase</t>
    <phoneticPr fontId="1" type="noConversion"/>
  </si>
  <si>
    <t>East West Bank</t>
    <phoneticPr fontId="1" type="noConversion"/>
  </si>
  <si>
    <t>一月份奉獻</t>
    <phoneticPr fontId="1" type="noConversion"/>
  </si>
  <si>
    <t>與BK STMT符</t>
    <phoneticPr fontId="1" type="noConversion"/>
  </si>
  <si>
    <t>什一奉獻</t>
  </si>
  <si>
    <t>Min Deng鄧敏 Sandy</t>
  </si>
  <si>
    <t>Yu Y Kang, Lie Chang Zhu</t>
  </si>
  <si>
    <t>Yu Mei Feng馮俞梅</t>
  </si>
  <si>
    <t>Ed &amp;Allison Lee</t>
  </si>
  <si>
    <t>YU Ching Cheung天香/張譽馨</t>
  </si>
  <si>
    <t>不具名</t>
  </si>
  <si>
    <t>Sylvia Fine小元Charles</t>
  </si>
  <si>
    <t>Dong Fang Li李東方</t>
  </si>
  <si>
    <t>Xing Chen Lu-Michell</t>
  </si>
  <si>
    <t xml:space="preserve">                                                                                                                    </t>
    <phoneticPr fontId="1" type="noConversion"/>
  </si>
  <si>
    <t xml:space="preserve">                                                                                                                                                                    </t>
    <phoneticPr fontId="1" type="noConversion"/>
  </si>
  <si>
    <t>不願留名女士奉獻</t>
    <phoneticPr fontId="1" type="noConversion"/>
  </si>
  <si>
    <t>16-2</t>
    <phoneticPr fontId="1" type="noConversion"/>
  </si>
  <si>
    <t>17-2</t>
    <phoneticPr fontId="1" type="noConversion"/>
  </si>
  <si>
    <t>35-2</t>
    <phoneticPr fontId="1" type="noConversion"/>
  </si>
  <si>
    <t>35-3</t>
    <phoneticPr fontId="1" type="noConversion"/>
  </si>
  <si>
    <t>40-1</t>
    <phoneticPr fontId="1" type="noConversion"/>
  </si>
  <si>
    <t>40-2</t>
  </si>
  <si>
    <t>40-2</t>
    <phoneticPr fontId="1" type="noConversion"/>
  </si>
  <si>
    <t>41-2</t>
    <phoneticPr fontId="1" type="noConversion"/>
  </si>
  <si>
    <t>17-2</t>
    <phoneticPr fontId="1" type="noConversion"/>
  </si>
  <si>
    <t>Jing</t>
    <phoneticPr fontId="1" type="noConversion"/>
  </si>
  <si>
    <t>Bank of America</t>
    <phoneticPr fontId="1" type="noConversion"/>
  </si>
  <si>
    <t>Chase</t>
    <phoneticPr fontId="1" type="noConversion"/>
  </si>
  <si>
    <t>40-2</t>
    <phoneticPr fontId="1" type="noConversion"/>
  </si>
  <si>
    <t>Wells Fargo</t>
    <phoneticPr fontId="1" type="noConversion"/>
  </si>
  <si>
    <t>Qj Qin Pan(QQ Healing Message)</t>
    <phoneticPr fontId="1" type="noConversion"/>
  </si>
  <si>
    <t>v</t>
    <phoneticPr fontId="1" type="noConversion"/>
  </si>
  <si>
    <t>v</t>
    <phoneticPr fontId="1" type="noConversion"/>
  </si>
  <si>
    <t>二月份奉獻</t>
    <phoneticPr fontId="1" type="noConversion"/>
  </si>
  <si>
    <t>Jing</t>
  </si>
  <si>
    <t>Qj Qin Pan(QQ Healing Message)</t>
  </si>
  <si>
    <t>17-2</t>
  </si>
  <si>
    <t>劉珈因Lau Ka Yan(Renee)</t>
  </si>
  <si>
    <t>17-2</t>
    <phoneticPr fontId="1" type="noConversion"/>
  </si>
  <si>
    <t>Bank of America</t>
    <phoneticPr fontId="1" type="noConversion"/>
  </si>
  <si>
    <t>Yan Cheng程雁</t>
    <phoneticPr fontId="1" type="noConversion"/>
  </si>
  <si>
    <t>17-2</t>
    <phoneticPr fontId="1" type="noConversion"/>
  </si>
  <si>
    <t>Bank of America</t>
    <phoneticPr fontId="1" type="noConversion"/>
  </si>
  <si>
    <t>Yan Cheng程雁</t>
  </si>
  <si>
    <t>喬阿姨Yen Pin Liu Chiao</t>
  </si>
  <si>
    <t>林敏雄Mr.&amp;Mrs. Min-Shyong Lin</t>
  </si>
  <si>
    <t>胡穎Hu Ying</t>
  </si>
  <si>
    <t>Suk Kuen Chan Lo Pastor Rainbow</t>
  </si>
  <si>
    <t>Liya Xia</t>
  </si>
  <si>
    <t>17-2</t>
    <phoneticPr fontId="1" type="noConversion"/>
  </si>
  <si>
    <t>Wang王</t>
    <phoneticPr fontId="1" type="noConversion"/>
  </si>
  <si>
    <t>Hong Wang王宏</t>
    <phoneticPr fontId="1" type="noConversion"/>
  </si>
  <si>
    <t>17-2</t>
    <phoneticPr fontId="1" type="noConversion"/>
  </si>
  <si>
    <t>East West Bank</t>
    <phoneticPr fontId="1" type="noConversion"/>
  </si>
  <si>
    <t>三月份奉獻</t>
    <phoneticPr fontId="1" type="noConversion"/>
  </si>
  <si>
    <t>v</t>
    <phoneticPr fontId="1" type="noConversion"/>
  </si>
  <si>
    <t>v</t>
    <phoneticPr fontId="1" type="noConversion"/>
  </si>
  <si>
    <t>Hong Wang王宏</t>
  </si>
  <si>
    <t>Xia Lian Zhang張夏蓮</t>
  </si>
  <si>
    <t>17-2</t>
    <phoneticPr fontId="1" type="noConversion"/>
  </si>
  <si>
    <t>v</t>
    <phoneticPr fontId="1" type="noConversion"/>
  </si>
  <si>
    <t>四月份奉獻</t>
    <phoneticPr fontId="1" type="noConversion"/>
  </si>
  <si>
    <t>Joseph Wu&amp;Mei Chen</t>
  </si>
  <si>
    <t>East West Bank</t>
    <phoneticPr fontId="1" type="noConversion"/>
  </si>
  <si>
    <t>黃小紅</t>
    <phoneticPr fontId="1" type="noConversion"/>
  </si>
  <si>
    <t>Wei Yan Hua</t>
    <phoneticPr fontId="1" type="noConversion"/>
  </si>
  <si>
    <t>Wells Fargo</t>
    <phoneticPr fontId="1" type="noConversion"/>
  </si>
  <si>
    <t>17-2</t>
    <phoneticPr fontId="1" type="noConversion"/>
  </si>
  <si>
    <t>17-2</t>
    <phoneticPr fontId="1" type="noConversion"/>
  </si>
  <si>
    <t>Yu Hui Zhao趙宇輝 Yu Fei</t>
    <phoneticPr fontId="1" type="noConversion"/>
  </si>
  <si>
    <t>盧瑾</t>
    <phoneticPr fontId="1" type="noConversion"/>
  </si>
  <si>
    <t>Charles Schwab</t>
    <phoneticPr fontId="1" type="noConversion"/>
  </si>
  <si>
    <t>v</t>
    <phoneticPr fontId="1" type="noConversion"/>
  </si>
  <si>
    <t>v</t>
    <phoneticPr fontId="1" type="noConversion"/>
  </si>
  <si>
    <t>五月份奉獻</t>
    <phoneticPr fontId="1" type="noConversion"/>
  </si>
  <si>
    <t>Yu Hui Zhao趙宇輝 Yu Fei</t>
  </si>
  <si>
    <t>Frank T. Chui</t>
  </si>
  <si>
    <t>Yvonne Chi-Ping Lan &amp; Ming Lei Yeh</t>
  </si>
  <si>
    <t>黃小紅</t>
  </si>
  <si>
    <t>Wei Yan Hua</t>
  </si>
  <si>
    <t>盧瑾</t>
  </si>
  <si>
    <t>v</t>
    <phoneticPr fontId="1" type="noConversion"/>
  </si>
  <si>
    <t>v</t>
    <phoneticPr fontId="1" type="noConversion"/>
  </si>
  <si>
    <t>v</t>
    <phoneticPr fontId="1" type="noConversion"/>
  </si>
  <si>
    <t>六月份奉獻</t>
    <phoneticPr fontId="1" type="noConversion"/>
  </si>
  <si>
    <t>17-2</t>
    <phoneticPr fontId="1" type="noConversion"/>
  </si>
  <si>
    <t>17-2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</si>
</sst>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-* #,##0.00_-;\-* #,##0.00_-;_-* &quot;-&quot;??_-;_-@_-"/>
    <numFmt numFmtId="176" formatCode="m&quot;月&quot;d&quot;日&quot;"/>
    <numFmt numFmtId="177" formatCode="#,##0.00_ "/>
    <numFmt numFmtId="178" formatCode="0_);[Red]\(0\)"/>
    <numFmt numFmtId="179" formatCode="m&quot;月&quot;d&quot;日&quot;;@"/>
    <numFmt numFmtId="180" formatCode="#,##0_);[Red]\(#,##0\)"/>
    <numFmt numFmtId="181" formatCode="#,##0.00_);[Red]\(#,##0.00\)"/>
    <numFmt numFmtId="182" formatCode="#,##0.00_ ;[Red]\-#,##0.00\ "/>
  </numFmts>
  <fonts count="1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i/>
      <sz val="12"/>
      <color theme="1"/>
      <name val="新細明體"/>
      <family val="1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b/>
      <sz val="12"/>
      <color theme="1"/>
      <name val="標楷體"/>
      <family val="4"/>
      <charset val="136"/>
    </font>
    <font>
      <sz val="12"/>
      <color theme="1"/>
      <name val="標楷體"/>
      <family val="4"/>
      <charset val="136"/>
    </font>
    <font>
      <sz val="12"/>
      <color rgb="FFFF0000"/>
      <name val="新細明體"/>
      <family val="2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color theme="1"/>
      <name val="新細明體"/>
      <family val="2"/>
      <charset val="136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</fills>
  <borders count="43">
    <border>
      <left/>
      <right/>
      <top/>
      <bottom/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/>
      <top/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ashed">
        <color auto="1"/>
      </right>
      <top style="thin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dashed">
        <color auto="1"/>
      </bottom>
      <diagonal/>
    </border>
    <border>
      <left style="dashed">
        <color auto="1"/>
      </left>
      <right style="thin">
        <color auto="1"/>
      </right>
      <top style="thin">
        <color auto="1"/>
      </top>
      <bottom style="dashed">
        <color auto="1"/>
      </bottom>
      <diagonal/>
    </border>
    <border>
      <left style="thin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dashed">
        <color auto="1"/>
      </right>
      <top style="dashed">
        <color auto="1"/>
      </top>
      <bottom style="thin">
        <color auto="1"/>
      </bottom>
      <diagonal/>
    </border>
    <border>
      <left style="dashed">
        <color auto="1"/>
      </left>
      <right style="thin">
        <color auto="1"/>
      </right>
      <top style="dashed">
        <color auto="1"/>
      </top>
      <bottom style="thin">
        <color auto="1"/>
      </bottom>
      <diagonal/>
    </border>
    <border>
      <left style="thin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thin">
        <color auto="1"/>
      </bottom>
      <diagonal/>
    </border>
    <border>
      <left style="dashed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auto="1"/>
      </bottom>
      <diagonal/>
    </border>
    <border>
      <left style="thin">
        <color auto="1"/>
      </left>
      <right style="double">
        <color indexed="64"/>
      </right>
      <top style="double">
        <color indexed="64"/>
      </top>
      <bottom style="thin">
        <color auto="1"/>
      </bottom>
      <diagonal/>
    </border>
    <border>
      <left style="double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indexed="64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indexed="64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3">
    <xf numFmtId="0" fontId="0" fillId="0" borderId="0" xfId="0">
      <alignment vertical="center"/>
    </xf>
    <xf numFmtId="177" fontId="0" fillId="0" borderId="0" xfId="0" applyNumberFormat="1">
      <alignment vertical="center"/>
    </xf>
    <xf numFmtId="14" fontId="0" fillId="3" borderId="4" xfId="0" applyNumberFormat="1" applyFill="1" applyBorder="1">
      <alignment vertical="center"/>
    </xf>
    <xf numFmtId="0" fontId="0" fillId="3" borderId="5" xfId="0" applyFill="1" applyBorder="1">
      <alignment vertical="center"/>
    </xf>
    <xf numFmtId="176" fontId="0" fillId="3" borderId="5" xfId="0" applyNumberFormat="1" applyFill="1" applyBorder="1">
      <alignment vertical="center"/>
    </xf>
    <xf numFmtId="14" fontId="0" fillId="0" borderId="4" xfId="0" applyNumberFormat="1" applyBorder="1">
      <alignment vertical="center"/>
    </xf>
    <xf numFmtId="0" fontId="0" fillId="0" borderId="5" xfId="0" applyBorder="1">
      <alignment vertical="center"/>
    </xf>
    <xf numFmtId="177" fontId="3" fillId="3" borderId="6" xfId="0" applyNumberFormat="1" applyFont="1" applyFill="1" applyBorder="1">
      <alignment vertical="center"/>
    </xf>
    <xf numFmtId="177" fontId="3" fillId="0" borderId="6" xfId="0" applyNumberFormat="1" applyFont="1" applyBorder="1">
      <alignment vertical="center"/>
    </xf>
    <xf numFmtId="14" fontId="0" fillId="4" borderId="4" xfId="0" applyNumberFormat="1" applyFill="1" applyBorder="1">
      <alignment vertical="center"/>
    </xf>
    <xf numFmtId="0" fontId="0" fillId="4" borderId="5" xfId="0" applyFill="1" applyBorder="1">
      <alignment vertical="center"/>
    </xf>
    <xf numFmtId="177" fontId="3" fillId="4" borderId="6" xfId="0" applyNumberFormat="1" applyFont="1" applyFill="1" applyBorder="1">
      <alignment vertical="center"/>
    </xf>
    <xf numFmtId="176" fontId="0" fillId="4" borderId="5" xfId="0" applyNumberFormat="1" applyFill="1" applyBorder="1">
      <alignment vertical="center"/>
    </xf>
    <xf numFmtId="14" fontId="0" fillId="2" borderId="4" xfId="0" applyNumberFormat="1" applyFill="1" applyBorder="1">
      <alignment vertical="center"/>
    </xf>
    <xf numFmtId="0" fontId="0" fillId="2" borderId="5" xfId="0" applyFill="1" applyBorder="1">
      <alignment vertical="center"/>
    </xf>
    <xf numFmtId="177" fontId="3" fillId="2" borderId="6" xfId="0" applyNumberFormat="1" applyFont="1" applyFill="1" applyBorder="1">
      <alignment vertical="center"/>
    </xf>
    <xf numFmtId="176" fontId="0" fillId="2" borderId="5" xfId="0" applyNumberFormat="1" applyFill="1" applyBorder="1">
      <alignment vertical="center"/>
    </xf>
    <xf numFmtId="0" fontId="0" fillId="5" borderId="5" xfId="0" applyFill="1" applyBorder="1">
      <alignment vertical="center"/>
    </xf>
    <xf numFmtId="0" fontId="0" fillId="0" borderId="0" xfId="0" applyAlignment="1">
      <alignment horizontal="centerContinuous"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178" fontId="0" fillId="0" borderId="14" xfId="0" applyNumberFormat="1" applyBorder="1" applyAlignment="1">
      <alignment horizontal="left" vertical="center"/>
    </xf>
    <xf numFmtId="178" fontId="0" fillId="0" borderId="15" xfId="0" applyNumberFormat="1" applyBorder="1">
      <alignment vertical="center"/>
    </xf>
    <xf numFmtId="0" fontId="2" fillId="0" borderId="0" xfId="0" applyFont="1" applyAlignment="1">
      <alignment horizontal="centerContinuous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14" fontId="0" fillId="7" borderId="4" xfId="0" applyNumberFormat="1" applyFill="1" applyBorder="1">
      <alignment vertical="center"/>
    </xf>
    <xf numFmtId="0" fontId="0" fillId="7" borderId="5" xfId="0" applyFill="1" applyBorder="1">
      <alignment vertical="center"/>
    </xf>
    <xf numFmtId="177" fontId="3" fillId="7" borderId="6" xfId="0" applyNumberFormat="1" applyFont="1" applyFill="1" applyBorder="1">
      <alignment vertical="center"/>
    </xf>
    <xf numFmtId="176" fontId="0" fillId="7" borderId="5" xfId="0" applyNumberFormat="1" applyFill="1" applyBorder="1">
      <alignment vertical="center"/>
    </xf>
    <xf numFmtId="0" fontId="0" fillId="8" borderId="5" xfId="0" applyFill="1" applyBorder="1">
      <alignment vertical="center"/>
    </xf>
    <xf numFmtId="14" fontId="0" fillId="8" borderId="4" xfId="0" applyNumberFormat="1" applyFill="1" applyBorder="1">
      <alignment vertical="center"/>
    </xf>
    <xf numFmtId="177" fontId="3" fillId="8" borderId="6" xfId="0" applyNumberFormat="1" applyFont="1" applyFill="1" applyBorder="1">
      <alignment vertical="center"/>
    </xf>
    <xf numFmtId="176" fontId="0" fillId="8" borderId="5" xfId="0" applyNumberFormat="1" applyFill="1" applyBorder="1">
      <alignment vertical="center"/>
    </xf>
    <xf numFmtId="0" fontId="2" fillId="0" borderId="16" xfId="0" applyFont="1" applyBorder="1" applyAlignment="1">
      <alignment horizontal="centerContinuous" vertical="center"/>
    </xf>
    <xf numFmtId="0" fontId="0" fillId="2" borderId="0" xfId="0" applyFill="1">
      <alignment vertical="center"/>
    </xf>
    <xf numFmtId="177" fontId="0" fillId="2" borderId="0" xfId="0" applyNumberFormat="1" applyFill="1">
      <alignment vertical="center"/>
    </xf>
    <xf numFmtId="14" fontId="0" fillId="9" borderId="4" xfId="0" applyNumberFormat="1" applyFill="1" applyBorder="1">
      <alignment vertical="center"/>
    </xf>
    <xf numFmtId="0" fontId="0" fillId="9" borderId="5" xfId="0" applyFill="1" applyBorder="1">
      <alignment vertical="center"/>
    </xf>
    <xf numFmtId="177" fontId="3" fillId="9" borderId="6" xfId="0" applyNumberFormat="1" applyFont="1" applyFill="1" applyBorder="1">
      <alignment vertical="center"/>
    </xf>
    <xf numFmtId="176" fontId="0" fillId="9" borderId="5" xfId="0" applyNumberFormat="1" applyFill="1" applyBorder="1">
      <alignment vertical="center"/>
    </xf>
    <xf numFmtId="1" fontId="0" fillId="0" borderId="11" xfId="0" applyNumberFormat="1" applyBorder="1" applyAlignment="1">
      <alignment horizontal="left" vertical="center"/>
    </xf>
    <xf numFmtId="16" fontId="0" fillId="0" borderId="0" xfId="0" applyNumberFormat="1">
      <alignment vertical="center"/>
    </xf>
    <xf numFmtId="0" fontId="2" fillId="0" borderId="0" xfId="0" applyFont="1">
      <alignment vertical="center"/>
    </xf>
    <xf numFmtId="176" fontId="0" fillId="0" borderId="0" xfId="0" applyNumberForma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0" fillId="0" borderId="7" xfId="0" pivotButton="1" applyBorder="1">
      <alignment vertical="center"/>
    </xf>
    <xf numFmtId="0" fontId="0" fillId="0" borderId="7" xfId="0" applyBorder="1">
      <alignment vertical="center"/>
    </xf>
    <xf numFmtId="0" fontId="0" fillId="0" borderId="7" xfId="0" applyBorder="1" applyAlignment="1">
      <alignment horizontal="left" vertical="center"/>
    </xf>
    <xf numFmtId="0" fontId="0" fillId="0" borderId="18" xfId="0" applyBorder="1" applyAlignment="1">
      <alignment horizontal="centerContinuous" vertical="center"/>
    </xf>
    <xf numFmtId="0" fontId="5" fillId="0" borderId="18" xfId="0" applyFont="1" applyBorder="1" applyAlignment="1">
      <alignment horizontal="centerContinuous" vertical="center"/>
    </xf>
    <xf numFmtId="0" fontId="5" fillId="0" borderId="17" xfId="0" applyFont="1" applyBorder="1" applyAlignment="1">
      <alignment horizontal="center" vertical="center"/>
    </xf>
    <xf numFmtId="43" fontId="0" fillId="0" borderId="7" xfId="0" applyNumberFormat="1" applyBorder="1">
      <alignment vertical="center"/>
    </xf>
    <xf numFmtId="14" fontId="0" fillId="11" borderId="4" xfId="0" applyNumberFormat="1" applyFill="1" applyBorder="1">
      <alignment vertical="center"/>
    </xf>
    <xf numFmtId="0" fontId="0" fillId="11" borderId="5" xfId="0" applyFill="1" applyBorder="1">
      <alignment vertical="center"/>
    </xf>
    <xf numFmtId="177" fontId="3" fillId="11" borderId="6" xfId="0" applyNumberFormat="1" applyFont="1" applyFill="1" applyBorder="1">
      <alignment vertical="center"/>
    </xf>
    <xf numFmtId="0" fontId="0" fillId="0" borderId="0" xfId="0" quotePrefix="1">
      <alignment vertical="center"/>
    </xf>
    <xf numFmtId="0" fontId="2" fillId="0" borderId="7" xfId="0" applyFont="1" applyBorder="1">
      <alignment vertical="center"/>
    </xf>
    <xf numFmtId="0" fontId="2" fillId="0" borderId="21" xfId="0" applyFont="1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176" fontId="0" fillId="0" borderId="24" xfId="0" applyNumberFormat="1" applyBorder="1">
      <alignment vertical="center"/>
    </xf>
    <xf numFmtId="0" fontId="0" fillId="0" borderId="25" xfId="0" applyBorder="1">
      <alignment vertical="center"/>
    </xf>
    <xf numFmtId="0" fontId="0" fillId="0" borderId="24" xfId="0" applyBorder="1">
      <alignment vertical="center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3" borderId="5" xfId="0" quotePrefix="1" applyFill="1" applyBorder="1">
      <alignment vertical="center"/>
    </xf>
    <xf numFmtId="0" fontId="7" fillId="2" borderId="0" xfId="0" applyFont="1" applyFill="1">
      <alignment vertical="center"/>
    </xf>
    <xf numFmtId="0" fontId="0" fillId="3" borderId="5" xfId="0" applyFill="1" applyBorder="1" applyAlignment="1">
      <alignment horizontal="right" vertical="center"/>
    </xf>
    <xf numFmtId="0" fontId="0" fillId="11" borderId="0" xfId="0" applyFill="1">
      <alignment vertical="center"/>
    </xf>
    <xf numFmtId="177" fontId="0" fillId="11" borderId="0" xfId="0" applyNumberFormat="1" applyFill="1">
      <alignment vertical="center"/>
    </xf>
    <xf numFmtId="178" fontId="0" fillId="0" borderId="24" xfId="0" applyNumberFormat="1" applyBorder="1">
      <alignment vertical="center"/>
    </xf>
    <xf numFmtId="0" fontId="0" fillId="0" borderId="7" xfId="0" quotePrefix="1" applyBorder="1" applyAlignment="1">
      <alignment horizontal="left" vertical="center"/>
    </xf>
    <xf numFmtId="0" fontId="7" fillId="0" borderId="7" xfId="0" applyFont="1" applyBorder="1">
      <alignment vertical="center"/>
    </xf>
    <xf numFmtId="17" fontId="0" fillId="0" borderId="7" xfId="0" quotePrefix="1" applyNumberForma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22" xfId="0" applyFont="1" applyBorder="1" applyAlignment="1">
      <alignment horizontal="left" vertical="center"/>
    </xf>
    <xf numFmtId="0" fontId="2" fillId="0" borderId="22" xfId="0" applyFont="1" applyBorder="1">
      <alignment vertical="center"/>
    </xf>
    <xf numFmtId="0" fontId="0" fillId="0" borderId="24" xfId="0" quotePrefix="1" applyBorder="1" applyAlignment="1">
      <alignment horizontal="left" vertical="center"/>
    </xf>
    <xf numFmtId="0" fontId="8" fillId="0" borderId="25" xfId="0" applyFont="1" applyBorder="1">
      <alignment vertical="center"/>
    </xf>
    <xf numFmtId="0" fontId="0" fillId="0" borderId="26" xfId="0" quotePrefix="1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0" fillId="10" borderId="7" xfId="0" applyFill="1" applyBorder="1">
      <alignment vertical="center"/>
    </xf>
    <xf numFmtId="0" fontId="0" fillId="4" borderId="7" xfId="0" applyFill="1" applyBorder="1">
      <alignment vertical="center"/>
    </xf>
    <xf numFmtId="0" fontId="0" fillId="7" borderId="7" xfId="0" applyFill="1" applyBorder="1">
      <alignment vertical="center"/>
    </xf>
    <xf numFmtId="0" fontId="0" fillId="2" borderId="7" xfId="0" applyFill="1" applyBorder="1">
      <alignment vertical="center"/>
    </xf>
    <xf numFmtId="0" fontId="0" fillId="8" borderId="7" xfId="0" applyFill="1" applyBorder="1">
      <alignment vertical="center"/>
    </xf>
    <xf numFmtId="0" fontId="0" fillId="6" borderId="7" xfId="0" applyFill="1" applyBorder="1">
      <alignment vertical="center"/>
    </xf>
    <xf numFmtId="0" fontId="0" fillId="5" borderId="7" xfId="0" applyFill="1" applyBorder="1">
      <alignment vertical="center"/>
    </xf>
    <xf numFmtId="0" fontId="0" fillId="12" borderId="0" xfId="0" applyFill="1">
      <alignment vertical="center"/>
    </xf>
    <xf numFmtId="177" fontId="0" fillId="12" borderId="0" xfId="0" applyNumberFormat="1" applyFill="1">
      <alignment vertical="center"/>
    </xf>
    <xf numFmtId="0" fontId="2" fillId="0" borderId="30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176" fontId="0" fillId="11" borderId="5" xfId="0" applyNumberFormat="1" applyFill="1" applyBorder="1">
      <alignment vertical="center"/>
    </xf>
    <xf numFmtId="0" fontId="0" fillId="13" borderId="5" xfId="0" applyFill="1" applyBorder="1">
      <alignment vertical="center"/>
    </xf>
    <xf numFmtId="181" fontId="0" fillId="0" borderId="14" xfId="0" pivotButton="1" applyNumberFormat="1" applyBorder="1">
      <alignment vertical="center"/>
    </xf>
    <xf numFmtId="181" fontId="0" fillId="0" borderId="15" xfId="0" applyNumberFormat="1" applyBorder="1">
      <alignment vertical="center"/>
    </xf>
    <xf numFmtId="181" fontId="0" fillId="0" borderId="8" xfId="0" pivotButton="1" applyNumberFormat="1" applyBorder="1">
      <alignment vertical="center"/>
    </xf>
    <xf numFmtId="181" fontId="0" fillId="0" borderId="9" xfId="0" applyNumberFormat="1" applyBorder="1">
      <alignment vertical="center"/>
    </xf>
    <xf numFmtId="181" fontId="0" fillId="0" borderId="9" xfId="0" pivotButton="1" applyNumberFormat="1" applyBorder="1">
      <alignment vertical="center"/>
    </xf>
    <xf numFmtId="181" fontId="0" fillId="0" borderId="10" xfId="0" applyNumberFormat="1" applyBorder="1">
      <alignment vertical="center"/>
    </xf>
    <xf numFmtId="181" fontId="0" fillId="0" borderId="11" xfId="0" pivotButton="1" applyNumberFormat="1" applyBorder="1">
      <alignment vertical="center"/>
    </xf>
    <xf numFmtId="181" fontId="0" fillId="0" borderId="5" xfId="0" pivotButton="1" applyNumberFormat="1" applyBorder="1">
      <alignment vertical="center"/>
    </xf>
    <xf numFmtId="181" fontId="0" fillId="0" borderId="11" xfId="0" applyNumberFormat="1" applyBorder="1" applyAlignment="1">
      <alignment horizontal="left" vertical="center"/>
    </xf>
    <xf numFmtId="181" fontId="0" fillId="0" borderId="5" xfId="0" applyNumberFormat="1" applyBorder="1" applyAlignment="1">
      <alignment horizontal="left" vertical="center"/>
    </xf>
    <xf numFmtId="181" fontId="0" fillId="0" borderId="14" xfId="0" applyNumberFormat="1" applyBorder="1">
      <alignment vertical="center"/>
    </xf>
    <xf numFmtId="181" fontId="0" fillId="0" borderId="7" xfId="0" applyNumberFormat="1" applyBorder="1">
      <alignment vertical="center"/>
    </xf>
    <xf numFmtId="180" fontId="4" fillId="0" borderId="15" xfId="0" applyNumberFormat="1" applyFont="1" applyBorder="1" applyAlignment="1">
      <alignment horizontal="left" vertical="center"/>
    </xf>
    <xf numFmtId="181" fontId="4" fillId="0" borderId="8" xfId="0" applyNumberFormat="1" applyFont="1" applyBorder="1">
      <alignment vertical="center"/>
    </xf>
    <xf numFmtId="181" fontId="4" fillId="0" borderId="9" xfId="0" applyNumberFormat="1" applyFont="1" applyBorder="1">
      <alignment vertical="center"/>
    </xf>
    <xf numFmtId="181" fontId="4" fillId="0" borderId="10" xfId="0" applyNumberFormat="1" applyFont="1" applyBorder="1">
      <alignment vertical="center"/>
    </xf>
    <xf numFmtId="181" fontId="4" fillId="0" borderId="11" xfId="0" applyNumberFormat="1" applyFont="1" applyBorder="1">
      <alignment vertical="center"/>
    </xf>
    <xf numFmtId="181" fontId="4" fillId="0" borderId="5" xfId="0" applyNumberFormat="1" applyFont="1" applyBorder="1">
      <alignment vertical="center"/>
    </xf>
    <xf numFmtId="181" fontId="4" fillId="0" borderId="20" xfId="0" applyNumberFormat="1" applyFont="1" applyBorder="1">
      <alignment vertical="center"/>
    </xf>
    <xf numFmtId="181" fontId="4" fillId="0" borderId="12" xfId="0" applyNumberFormat="1" applyFont="1" applyBorder="1">
      <alignment vertical="center"/>
    </xf>
    <xf numFmtId="181" fontId="4" fillId="0" borderId="19" xfId="0" applyNumberFormat="1" applyFont="1" applyBorder="1">
      <alignment vertical="center"/>
    </xf>
    <xf numFmtId="181" fontId="4" fillId="0" borderId="13" xfId="0" applyNumberFormat="1" applyFont="1" applyBorder="1">
      <alignment vertical="center"/>
    </xf>
    <xf numFmtId="180" fontId="4" fillId="0" borderId="15" xfId="0" applyNumberFormat="1" applyFont="1" applyBorder="1">
      <alignment vertical="center"/>
    </xf>
    <xf numFmtId="180" fontId="0" fillId="0" borderId="11" xfId="0" applyNumberFormat="1" applyBorder="1" applyAlignment="1">
      <alignment horizontal="left" vertical="center"/>
    </xf>
    <xf numFmtId="181" fontId="0" fillId="0" borderId="29" xfId="0" applyNumberFormat="1" applyBorder="1">
      <alignment vertical="center"/>
    </xf>
    <xf numFmtId="180" fontId="0" fillId="0" borderId="11" xfId="0" applyNumberFormat="1" applyBorder="1">
      <alignment vertical="center"/>
    </xf>
    <xf numFmtId="0" fontId="0" fillId="11" borderId="5" xfId="0" quotePrefix="1" applyFill="1" applyBorder="1">
      <alignment vertical="center"/>
    </xf>
    <xf numFmtId="0" fontId="2" fillId="0" borderId="32" xfId="0" applyFont="1" applyBorder="1">
      <alignment vertical="center"/>
    </xf>
    <xf numFmtId="0" fontId="0" fillId="0" borderId="33" xfId="0" applyBorder="1">
      <alignment vertical="center"/>
    </xf>
    <xf numFmtId="0" fontId="7" fillId="0" borderId="33" xfId="0" applyFont="1" applyBorder="1">
      <alignment vertical="center"/>
    </xf>
    <xf numFmtId="0" fontId="2" fillId="0" borderId="34" xfId="0" applyFont="1" applyBorder="1">
      <alignment vertical="center"/>
    </xf>
    <xf numFmtId="0" fontId="2" fillId="0" borderId="35" xfId="0" applyFont="1" applyBorder="1">
      <alignment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12" borderId="5" xfId="0" applyFill="1" applyBorder="1">
      <alignment vertical="center"/>
    </xf>
    <xf numFmtId="182" fontId="2" fillId="4" borderId="5" xfId="0" applyNumberFormat="1" applyFont="1" applyFill="1" applyBorder="1">
      <alignment vertical="center"/>
    </xf>
    <xf numFmtId="182" fontId="2" fillId="3" borderId="5" xfId="0" applyNumberFormat="1" applyFont="1" applyFill="1" applyBorder="1">
      <alignment vertical="center"/>
    </xf>
    <xf numFmtId="182" fontId="2" fillId="8" borderId="5" xfId="0" applyNumberFormat="1" applyFont="1" applyFill="1" applyBorder="1">
      <alignment vertical="center"/>
    </xf>
    <xf numFmtId="182" fontId="2" fillId="2" borderId="5" xfId="0" applyNumberFormat="1" applyFont="1" applyFill="1" applyBorder="1">
      <alignment vertical="center"/>
    </xf>
    <xf numFmtId="182" fontId="2" fillId="9" borderId="5" xfId="0" applyNumberFormat="1" applyFont="1" applyFill="1" applyBorder="1">
      <alignment vertical="center"/>
    </xf>
    <xf numFmtId="182" fontId="2" fillId="7" borderId="5" xfId="0" applyNumberFormat="1" applyFont="1" applyFill="1" applyBorder="1">
      <alignment vertical="center"/>
    </xf>
    <xf numFmtId="182" fontId="2" fillId="11" borderId="5" xfId="0" applyNumberFormat="1" applyFont="1" applyFill="1" applyBorder="1">
      <alignment vertical="center"/>
    </xf>
    <xf numFmtId="182" fontId="2" fillId="0" borderId="5" xfId="0" applyNumberFormat="1" applyFont="1" applyBorder="1">
      <alignment vertical="center"/>
    </xf>
    <xf numFmtId="182" fontId="0" fillId="0" borderId="0" xfId="0" applyNumberFormat="1">
      <alignment vertical="center"/>
    </xf>
    <xf numFmtId="181" fontId="0" fillId="0" borderId="10" xfId="0" pivotButton="1" applyNumberFormat="1" applyBorder="1">
      <alignment vertical="center"/>
    </xf>
    <xf numFmtId="181" fontId="4" fillId="0" borderId="7" xfId="0" applyNumberFormat="1" applyFont="1" applyBorder="1">
      <alignment vertical="center"/>
    </xf>
    <xf numFmtId="178" fontId="0" fillId="7" borderId="4" xfId="0" applyNumberFormat="1" applyFill="1" applyBorder="1" applyAlignment="1">
      <alignment horizontal="right" vertical="center"/>
    </xf>
    <xf numFmtId="178" fontId="0" fillId="7" borderId="4" xfId="0" applyNumberFormat="1" applyFill="1" applyBorder="1">
      <alignment vertical="center"/>
    </xf>
    <xf numFmtId="0" fontId="0" fillId="7" borderId="5" xfId="0" quotePrefix="1" applyFill="1" applyBorder="1">
      <alignment vertical="center"/>
    </xf>
    <xf numFmtId="178" fontId="0" fillId="2" borderId="4" xfId="0" applyNumberFormat="1" applyFill="1" applyBorder="1" applyAlignment="1">
      <alignment horizontal="right" vertical="center"/>
    </xf>
    <xf numFmtId="178" fontId="0" fillId="2" borderId="4" xfId="0" applyNumberFormat="1" applyFill="1" applyBorder="1">
      <alignment vertical="center"/>
    </xf>
    <xf numFmtId="0" fontId="0" fillId="2" borderId="5" xfId="0" quotePrefix="1" applyFill="1" applyBorder="1">
      <alignment vertical="center"/>
    </xf>
    <xf numFmtId="0" fontId="0" fillId="2" borderId="5" xfId="0" applyFill="1" applyBorder="1" applyAlignment="1">
      <alignment horizontal="right" vertical="center"/>
    </xf>
    <xf numFmtId="0" fontId="0" fillId="14" borderId="5" xfId="0" applyFill="1" applyBorder="1">
      <alignment vertical="center"/>
    </xf>
    <xf numFmtId="0" fontId="0" fillId="15" borderId="5" xfId="0" applyFill="1" applyBorder="1">
      <alignment vertical="center"/>
    </xf>
    <xf numFmtId="0" fontId="0" fillId="8" borderId="5" xfId="0" applyFill="1" applyBorder="1" applyAlignment="1">
      <alignment horizontal="right" vertical="center"/>
    </xf>
    <xf numFmtId="0" fontId="0" fillId="8" borderId="5" xfId="0" quotePrefix="1" applyFill="1" applyBorder="1">
      <alignment vertical="center"/>
    </xf>
    <xf numFmtId="178" fontId="0" fillId="8" borderId="4" xfId="0" applyNumberFormat="1" applyFill="1" applyBorder="1" applyAlignment="1">
      <alignment horizontal="right" vertical="center"/>
    </xf>
    <xf numFmtId="178" fontId="0" fillId="8" borderId="4" xfId="0" applyNumberFormat="1" applyFill="1" applyBorder="1">
      <alignment vertical="center"/>
    </xf>
    <xf numFmtId="0" fontId="0" fillId="15" borderId="5" xfId="0" quotePrefix="1" applyFill="1" applyBorder="1">
      <alignment vertical="center"/>
    </xf>
    <xf numFmtId="0" fontId="0" fillId="4" borderId="5" xfId="0" quotePrefix="1" applyFill="1" applyBorder="1">
      <alignment vertical="center"/>
    </xf>
    <xf numFmtId="178" fontId="0" fillId="0" borderId="40" xfId="0" applyNumberFormat="1" applyBorder="1" applyAlignment="1">
      <alignment horizontal="left" vertical="center"/>
    </xf>
    <xf numFmtId="178" fontId="0" fillId="0" borderId="41" xfId="0" applyNumberFormat="1" applyBorder="1" applyAlignment="1">
      <alignment horizontal="left" vertical="center"/>
    </xf>
    <xf numFmtId="178" fontId="0" fillId="0" borderId="42" xfId="0" applyNumberFormat="1" applyBorder="1" applyAlignment="1">
      <alignment horizontal="left" vertical="center"/>
    </xf>
    <xf numFmtId="181" fontId="0" fillId="0" borderId="11" xfId="0" applyNumberFormat="1" applyFont="1" applyBorder="1">
      <alignment vertical="center"/>
    </xf>
    <xf numFmtId="181" fontId="0" fillId="0" borderId="5" xfId="0" applyNumberFormat="1" applyFont="1" applyBorder="1">
      <alignment vertical="center"/>
    </xf>
    <xf numFmtId="178" fontId="0" fillId="0" borderId="11" xfId="0" applyNumberFormat="1" applyBorder="1" applyAlignment="1">
      <alignment horizontal="left" vertical="center"/>
    </xf>
    <xf numFmtId="1" fontId="0" fillId="0" borderId="40" xfId="0" applyNumberFormat="1" applyBorder="1" applyAlignment="1">
      <alignment horizontal="left" vertical="center"/>
    </xf>
    <xf numFmtId="1" fontId="0" fillId="0" borderId="41" xfId="0" applyNumberFormat="1" applyBorder="1" applyAlignment="1">
      <alignment horizontal="left" vertical="center"/>
    </xf>
    <xf numFmtId="1" fontId="0" fillId="0" borderId="42" xfId="0" applyNumberFormat="1" applyBorder="1" applyAlignment="1">
      <alignment horizontal="left" vertical="center"/>
    </xf>
    <xf numFmtId="0" fontId="11" fillId="8" borderId="5" xfId="0" applyFont="1" applyFill="1" applyBorder="1">
      <alignment vertical="center"/>
    </xf>
    <xf numFmtId="177" fontId="0" fillId="11" borderId="5" xfId="0" applyNumberFormat="1" applyFill="1" applyBorder="1">
      <alignment vertical="center"/>
    </xf>
    <xf numFmtId="0" fontId="9" fillId="11" borderId="5" xfId="0" applyFont="1" applyFill="1" applyBorder="1">
      <alignment vertical="center"/>
    </xf>
    <xf numFmtId="0" fontId="7" fillId="11" borderId="5" xfId="0" applyFont="1" applyFill="1" applyBorder="1">
      <alignment vertical="center"/>
    </xf>
    <xf numFmtId="0" fontId="10" fillId="11" borderId="0" xfId="0" applyFont="1" applyFill="1">
      <alignment vertical="center"/>
    </xf>
    <xf numFmtId="182" fontId="0" fillId="11" borderId="5" xfId="0" applyNumberFormat="1" applyFill="1" applyBorder="1">
      <alignment vertical="center"/>
    </xf>
    <xf numFmtId="176" fontId="0" fillId="4" borderId="5" xfId="0" quotePrefix="1" applyNumberFormat="1" applyFill="1" applyBorder="1" applyAlignment="1">
      <alignment horizontal="right" vertical="center"/>
    </xf>
    <xf numFmtId="181" fontId="3" fillId="7" borderId="5" xfId="0" applyNumberFormat="1" applyFont="1" applyFill="1" applyBorder="1">
      <alignment vertical="center"/>
    </xf>
    <xf numFmtId="178" fontId="0" fillId="0" borderId="7" xfId="0" applyNumberFormat="1" applyBorder="1" applyAlignment="1">
      <alignment horizontal="left" vertical="center"/>
    </xf>
    <xf numFmtId="1" fontId="0" fillId="0" borderId="11" xfId="0" applyNumberFormat="1" applyBorder="1">
      <alignment vertical="center"/>
    </xf>
    <xf numFmtId="176" fontId="0" fillId="7" borderId="5" xfId="0" quotePrefix="1" applyNumberFormat="1" applyFill="1" applyBorder="1">
      <alignment vertical="center"/>
    </xf>
    <xf numFmtId="0" fontId="0" fillId="13" borderId="0" xfId="0" applyFill="1">
      <alignment vertical="center"/>
    </xf>
    <xf numFmtId="177" fontId="0" fillId="13" borderId="0" xfId="0" applyNumberFormat="1" applyFill="1">
      <alignment vertical="center"/>
    </xf>
    <xf numFmtId="16" fontId="0" fillId="4" borderId="5" xfId="0" applyNumberFormat="1" applyFill="1" applyBorder="1">
      <alignment vertical="center"/>
    </xf>
    <xf numFmtId="0" fontId="0" fillId="16" borderId="0" xfId="0" applyFill="1">
      <alignment vertical="center"/>
    </xf>
    <xf numFmtId="177" fontId="0" fillId="16" borderId="0" xfId="0" applyNumberFormat="1" applyFill="1">
      <alignment vertical="center"/>
    </xf>
    <xf numFmtId="0" fontId="0" fillId="9" borderId="5" xfId="0" quotePrefix="1" applyFill="1" applyBorder="1">
      <alignment vertical="center"/>
    </xf>
    <xf numFmtId="16" fontId="0" fillId="9" borderId="5" xfId="0" applyNumberFormat="1" applyFill="1" applyBorder="1">
      <alignment vertical="center"/>
    </xf>
    <xf numFmtId="181" fontId="0" fillId="0" borderId="8" xfId="0" applyNumberFormat="1" applyFont="1" applyBorder="1">
      <alignment vertical="center"/>
    </xf>
    <xf numFmtId="179" fontId="0" fillId="7" borderId="5" xfId="0" applyNumberFormat="1" applyFill="1" applyBorder="1">
      <alignment vertical="center"/>
    </xf>
    <xf numFmtId="16" fontId="0" fillId="8" borderId="5" xfId="0" applyNumberFormat="1" applyFill="1" applyBorder="1">
      <alignment vertical="center"/>
    </xf>
    <xf numFmtId="179" fontId="0" fillId="8" borderId="5" xfId="0" applyNumberFormat="1" applyFill="1" applyBorder="1">
      <alignment vertical="center"/>
    </xf>
    <xf numFmtId="179" fontId="0" fillId="4" borderId="5" xfId="0" applyNumberFormat="1" applyFill="1" applyBorder="1">
      <alignment vertical="center"/>
    </xf>
    <xf numFmtId="0" fontId="0" fillId="16" borderId="5" xfId="0" applyFill="1" applyBorder="1">
      <alignment vertical="center"/>
    </xf>
    <xf numFmtId="14" fontId="0" fillId="10" borderId="4" xfId="0" applyNumberFormat="1" applyFill="1" applyBorder="1">
      <alignment vertical="center"/>
    </xf>
    <xf numFmtId="0" fontId="0" fillId="10" borderId="5" xfId="0" applyFill="1" applyBorder="1">
      <alignment vertical="center"/>
    </xf>
    <xf numFmtId="182" fontId="2" fillId="10" borderId="5" xfId="0" applyNumberFormat="1" applyFont="1" applyFill="1" applyBorder="1">
      <alignment vertical="center"/>
    </xf>
    <xf numFmtId="177" fontId="3" fillId="10" borderId="6" xfId="0" applyNumberFormat="1" applyFont="1" applyFill="1" applyBorder="1">
      <alignment vertical="center"/>
    </xf>
    <xf numFmtId="0" fontId="0" fillId="10" borderId="5" xfId="0" quotePrefix="1" applyFill="1" applyBorder="1">
      <alignment vertical="center"/>
    </xf>
    <xf numFmtId="176" fontId="0" fillId="10" borderId="5" xfId="0" applyNumberFormat="1" applyFill="1" applyBorder="1">
      <alignment vertical="center"/>
    </xf>
    <xf numFmtId="179" fontId="0" fillId="10" borderId="5" xfId="0" applyNumberFormat="1" applyFill="1" applyBorder="1">
      <alignment vertical="center"/>
    </xf>
    <xf numFmtId="179" fontId="0" fillId="9" borderId="5" xfId="0" applyNumberFormat="1" applyFill="1" applyBorder="1">
      <alignment vertical="center"/>
    </xf>
    <xf numFmtId="1" fontId="0" fillId="0" borderId="7" xfId="0" applyNumberFormat="1" applyBorder="1" applyAlignment="1">
      <alignment horizontal="left" vertical="center"/>
    </xf>
  </cellXfs>
  <cellStyles count="1">
    <cellStyle name="一般" xfId="0" builtinId="0"/>
  </cellStyles>
  <dxfs count="457">
    <dxf>
      <numFmt numFmtId="180" formatCode="#,##0_);[Red]\(#,##0\)"/>
    </dxf>
    <dxf>
      <numFmt numFmtId="180" formatCode="#,##0_);[Red]\(#,##0\)"/>
    </dxf>
    <dxf>
      <numFmt numFmtId="180" formatCode="#,##0_);[Red]\(#,##0\)"/>
    </dxf>
    <dxf>
      <numFmt numFmtId="1" formatCode="0"/>
    </dxf>
    <dxf>
      <numFmt numFmtId="180" formatCode="#,##0_);[Red]\(#,##0\)"/>
    </dxf>
    <dxf>
      <numFmt numFmtId="180" formatCode="#,##0_);[Red]\(#,##0\)"/>
    </dxf>
    <dxf>
      <numFmt numFmtId="178" formatCode="0_);[Red]\(0\)"/>
    </dxf>
    <dxf>
      <numFmt numFmtId="180" formatCode="#,##0_);[Red]\(#,##0\)"/>
    </dxf>
    <dxf>
      <numFmt numFmtId="1" formatCode="0"/>
    </dxf>
    <dxf>
      <numFmt numFmtId="178" formatCode="0_);[Red]\(0\)"/>
    </dxf>
    <dxf>
      <font>
        <b/>
      </font>
      <numFmt numFmtId="180" formatCode="#,##0_);[Red]\(#,##0\)"/>
    </dxf>
    <dxf>
      <font>
        <b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/>
      </font>
    </dxf>
    <dxf>
      <numFmt numFmtId="180" formatCode="#,##0_);[Red]\(#,##0\)"/>
    </dxf>
    <dxf>
      <numFmt numFmtId="178" formatCode="0_);[Red]\(0\)"/>
    </dxf>
    <dxf>
      <numFmt numFmtId="178" formatCode="0_);[Red]\(0\)"/>
    </dxf>
    <dxf>
      <numFmt numFmtId="178" formatCode="0_);[Red]\(0\)"/>
    </dxf>
    <dxf>
      <numFmt numFmtId="181" formatCode="#,##0.00_);[Red]\(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ashed">
          <color auto="1"/>
        </vertical>
        <horizontal style="dashed">
          <color auto="1"/>
        </horizontal>
      </border>
    </dxf>
    <dxf>
      <numFmt numFmtId="181" formatCode="#,##0.00_);[Red]\(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ashed">
          <color auto="1"/>
        </vertical>
        <horizontal style="dashed">
          <color auto="1"/>
        </horizontal>
      </border>
    </dxf>
    <dxf>
      <numFmt numFmtId="181" formatCode="#,##0.00_);[Red]\(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ashed">
          <color auto="1"/>
        </vertical>
        <horizontal style="dashed">
          <color auto="1"/>
        </horizontal>
      </border>
    </dxf>
    <dxf>
      <numFmt numFmtId="181" formatCode="#,##0.00_);[Red]\(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ashed">
          <color auto="1"/>
        </vertical>
        <horizontal style="dashed">
          <color auto="1"/>
        </horizontal>
      </border>
    </dxf>
    <dxf>
      <numFmt numFmtId="181" formatCode="#,##0.00_);[Red]\(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ashed">
          <color auto="1"/>
        </vertical>
        <horizontal style="dashed">
          <color auto="1"/>
        </horizontal>
      </border>
    </dxf>
    <dxf>
      <numFmt numFmtId="181" formatCode="#,##0.00_);[Red]\(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ashed">
          <color auto="1"/>
        </vertical>
        <horizontal style="dashed">
          <color auto="1"/>
        </horizontal>
      </border>
    </dxf>
    <dxf>
      <numFmt numFmtId="181" formatCode="#,##0.00_);[Red]\(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ashed">
          <color auto="1"/>
        </vertical>
        <horizontal style="dashed">
          <color auto="1"/>
        </horizontal>
      </border>
    </dxf>
    <dxf>
      <numFmt numFmtId="180" formatCode="#,##0_);[Red]\(#,##0\)"/>
    </dxf>
    <dxf>
      <numFmt numFmtId="180" formatCode="#,##0_);[Red]\(#,##0\)"/>
    </dxf>
    <dxf>
      <numFmt numFmtId="180" formatCode="#,##0_);[Red]\(#,##0\)"/>
    </dxf>
    <dxf>
      <numFmt numFmtId="1" formatCode="0"/>
    </dxf>
    <dxf>
      <numFmt numFmtId="180" formatCode="#,##0_);[Red]\(#,##0\)"/>
    </dxf>
    <dxf>
      <numFmt numFmtId="180" formatCode="#,##0_);[Red]\(#,##0\)"/>
    </dxf>
    <dxf>
      <numFmt numFmtId="178" formatCode="0_);[Red]\(0\)"/>
    </dxf>
    <dxf>
      <numFmt numFmtId="180" formatCode="#,##0_);[Red]\(#,##0\)"/>
    </dxf>
    <dxf>
      <numFmt numFmtId="1" formatCode="0"/>
    </dxf>
    <dxf>
      <numFmt numFmtId="178" formatCode="0_);[Red]\(0\)"/>
    </dxf>
    <dxf>
      <font>
        <b/>
      </font>
      <numFmt numFmtId="180" formatCode="#,##0_);[Red]\(#,##0\)"/>
    </dxf>
    <dxf>
      <font>
        <b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/>
      </font>
    </dxf>
    <dxf>
      <numFmt numFmtId="180" formatCode="#,##0_);[Red]\(#,##0\)"/>
    </dxf>
    <dxf>
      <numFmt numFmtId="178" formatCode="0_);[Red]\(0\)"/>
    </dxf>
    <dxf>
      <numFmt numFmtId="178" formatCode="0_);[Red]\(0\)"/>
    </dxf>
    <dxf>
      <numFmt numFmtId="178" formatCode="0_);[Red]\(0\)"/>
    </dxf>
    <dxf>
      <numFmt numFmtId="181" formatCode="#,##0.00_);[Red]\(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ashed">
          <color auto="1"/>
        </vertical>
        <horizontal style="dashed">
          <color auto="1"/>
        </horizontal>
      </border>
    </dxf>
    <dxf>
      <numFmt numFmtId="181" formatCode="#,##0.00_);[Red]\(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ashed">
          <color auto="1"/>
        </vertical>
        <horizontal style="dashed">
          <color auto="1"/>
        </horizontal>
      </border>
    </dxf>
    <dxf>
      <numFmt numFmtId="181" formatCode="#,##0.00_);[Red]\(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ashed">
          <color auto="1"/>
        </vertical>
        <horizontal style="dashed">
          <color auto="1"/>
        </horizontal>
      </border>
    </dxf>
    <dxf>
      <numFmt numFmtId="181" formatCode="#,##0.00_);[Red]\(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ashed">
          <color auto="1"/>
        </vertical>
        <horizontal style="dashed">
          <color auto="1"/>
        </horizontal>
      </border>
    </dxf>
    <dxf>
      <numFmt numFmtId="181" formatCode="#,##0.00_);[Red]\(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ashed">
          <color auto="1"/>
        </vertical>
        <horizontal style="dashed">
          <color auto="1"/>
        </horizontal>
      </border>
    </dxf>
    <dxf>
      <numFmt numFmtId="181" formatCode="#,##0.00_);[Red]\(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ashed">
          <color auto="1"/>
        </vertical>
        <horizontal style="dashed">
          <color auto="1"/>
        </horizontal>
      </border>
    </dxf>
    <dxf>
      <numFmt numFmtId="181" formatCode="#,##0.00_);[Red]\(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ashed">
          <color auto="1"/>
        </vertical>
        <horizontal style="dashed">
          <color auto="1"/>
        </horizontal>
      </border>
    </dxf>
    <dxf>
      <numFmt numFmtId="180" formatCode="#,##0_);[Red]\(#,##0\)"/>
    </dxf>
    <dxf>
      <numFmt numFmtId="180" formatCode="#,##0_);[Red]\(#,##0\)"/>
    </dxf>
    <dxf>
      <numFmt numFmtId="180" formatCode="#,##0_);[Red]\(#,##0\)"/>
    </dxf>
    <dxf>
      <numFmt numFmtId="178" formatCode="0_);[Red]\(0\)"/>
    </dxf>
    <dxf>
      <numFmt numFmtId="180" formatCode="#,##0_);[Red]\(#,##0\)"/>
    </dxf>
    <dxf>
      <numFmt numFmtId="1" formatCode="0"/>
    </dxf>
    <dxf>
      <numFmt numFmtId="178" formatCode="0_);[Red]\(0\)"/>
    </dxf>
    <dxf>
      <font>
        <b/>
      </font>
      <numFmt numFmtId="180" formatCode="#,##0_);[Red]\(#,##0\)"/>
    </dxf>
    <dxf>
      <font>
        <b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/>
      </font>
    </dxf>
    <dxf>
      <numFmt numFmtId="180" formatCode="#,##0_);[Red]\(#,##0\)"/>
    </dxf>
    <dxf>
      <numFmt numFmtId="178" formatCode="0_);[Red]\(0\)"/>
    </dxf>
    <dxf>
      <numFmt numFmtId="178" formatCode="0_);[Red]\(0\)"/>
    </dxf>
    <dxf>
      <numFmt numFmtId="178" formatCode="0_);[Red]\(0\)"/>
    </dxf>
    <dxf>
      <numFmt numFmtId="181" formatCode="#,##0.00_);[Red]\(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ashed">
          <color auto="1"/>
        </vertical>
        <horizontal style="dashed">
          <color auto="1"/>
        </horizontal>
      </border>
    </dxf>
    <dxf>
      <numFmt numFmtId="181" formatCode="#,##0.00_);[Red]\(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ashed">
          <color auto="1"/>
        </vertical>
        <horizontal style="dashed">
          <color auto="1"/>
        </horizontal>
      </border>
    </dxf>
    <dxf>
      <numFmt numFmtId="181" formatCode="#,##0.00_);[Red]\(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ashed">
          <color auto="1"/>
        </vertical>
        <horizontal style="dashed">
          <color auto="1"/>
        </horizontal>
      </border>
    </dxf>
    <dxf>
      <numFmt numFmtId="181" formatCode="#,##0.00_);[Red]\(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ashed">
          <color auto="1"/>
        </vertical>
        <horizontal style="dashed">
          <color auto="1"/>
        </horizontal>
      </border>
    </dxf>
    <dxf>
      <numFmt numFmtId="181" formatCode="#,##0.00_);[Red]\(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ashed">
          <color auto="1"/>
        </vertical>
        <horizontal style="dashed">
          <color auto="1"/>
        </horizontal>
      </border>
    </dxf>
    <dxf>
      <numFmt numFmtId="181" formatCode="#,##0.00_);[Red]\(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ashed">
          <color auto="1"/>
        </vertical>
        <horizontal style="dashed">
          <color auto="1"/>
        </horizontal>
      </border>
    </dxf>
    <dxf>
      <numFmt numFmtId="181" formatCode="#,##0.00_);[Red]\(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ashed">
          <color auto="1"/>
        </vertical>
        <horizontal style="dashed">
          <color auto="1"/>
        </horizontal>
      </border>
    </dxf>
    <dxf>
      <numFmt numFmtId="1" formatCode="0"/>
    </dxf>
    <dxf>
      <numFmt numFmtId="1" formatCode="0"/>
    </dxf>
    <dxf>
      <numFmt numFmtId="180" formatCode="#,##0_);[Red]\(#,##0\)"/>
    </dxf>
    <dxf>
      <numFmt numFmtId="180" formatCode="#,##0_);[Red]\(#,##0\)"/>
    </dxf>
    <dxf>
      <numFmt numFmtId="178" formatCode="0_);[Red]\(0\)"/>
    </dxf>
    <dxf>
      <numFmt numFmtId="180" formatCode="#,##0_);[Red]\(#,##0\)"/>
    </dxf>
    <dxf>
      <numFmt numFmtId="1" formatCode="0"/>
    </dxf>
    <dxf>
      <numFmt numFmtId="178" formatCode="0_);[Red]\(0\)"/>
    </dxf>
    <dxf>
      <font>
        <b/>
      </font>
      <numFmt numFmtId="180" formatCode="#,##0_);[Red]\(#,##0\)"/>
    </dxf>
    <dxf>
      <font>
        <b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/>
      </font>
    </dxf>
    <dxf>
      <numFmt numFmtId="180" formatCode="#,##0_);[Red]\(#,##0\)"/>
    </dxf>
    <dxf>
      <numFmt numFmtId="178" formatCode="0_);[Red]\(0\)"/>
    </dxf>
    <dxf>
      <numFmt numFmtId="178" formatCode="0_);[Red]\(0\)"/>
    </dxf>
    <dxf>
      <numFmt numFmtId="178" formatCode="0_);[Red]\(0\)"/>
    </dxf>
    <dxf>
      <numFmt numFmtId="181" formatCode="#,##0.00_);[Red]\(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ashed">
          <color auto="1"/>
        </vertical>
        <horizontal style="dashed">
          <color auto="1"/>
        </horizontal>
      </border>
    </dxf>
    <dxf>
      <numFmt numFmtId="181" formatCode="#,##0.00_);[Red]\(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ashed">
          <color auto="1"/>
        </vertical>
        <horizontal style="dashed">
          <color auto="1"/>
        </horizontal>
      </border>
    </dxf>
    <dxf>
      <numFmt numFmtId="181" formatCode="#,##0.00_);[Red]\(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ashed">
          <color auto="1"/>
        </vertical>
        <horizontal style="dashed">
          <color auto="1"/>
        </horizontal>
      </border>
    </dxf>
    <dxf>
      <numFmt numFmtId="181" formatCode="#,##0.00_);[Red]\(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ashed">
          <color auto="1"/>
        </vertical>
        <horizontal style="dashed">
          <color auto="1"/>
        </horizontal>
      </border>
    </dxf>
    <dxf>
      <numFmt numFmtId="181" formatCode="#,##0.00_);[Red]\(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ashed">
          <color auto="1"/>
        </vertical>
        <horizontal style="dashed">
          <color auto="1"/>
        </horizontal>
      </border>
    </dxf>
    <dxf>
      <numFmt numFmtId="181" formatCode="#,##0.00_);[Red]\(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ashed">
          <color auto="1"/>
        </vertical>
        <horizontal style="dashed">
          <color auto="1"/>
        </horizontal>
      </border>
    </dxf>
    <dxf>
      <numFmt numFmtId="181" formatCode="#,##0.00_);[Red]\(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ashed">
          <color auto="1"/>
        </vertical>
        <horizontal style="dashed">
          <color auto="1"/>
        </horizontal>
      </border>
    </dxf>
    <dxf>
      <numFmt numFmtId="180" formatCode="#,##0_);[Red]\(#,##0\)"/>
    </dxf>
    <dxf>
      <numFmt numFmtId="180" formatCode="#,##0_);[Red]\(#,##0\)"/>
    </dxf>
    <dxf>
      <numFmt numFmtId="178" formatCode="0_);[Red]\(0\)"/>
    </dxf>
    <dxf>
      <numFmt numFmtId="180" formatCode="#,##0_);[Red]\(#,##0\)"/>
    </dxf>
    <dxf>
      <numFmt numFmtId="1" formatCode="0"/>
    </dxf>
    <dxf>
      <numFmt numFmtId="178" formatCode="0_);[Red]\(0\)"/>
    </dxf>
    <dxf>
      <font>
        <b/>
      </font>
      <numFmt numFmtId="180" formatCode="#,##0_);[Red]\(#,##0\)"/>
    </dxf>
    <dxf>
      <font>
        <b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/>
      </font>
    </dxf>
    <dxf>
      <numFmt numFmtId="180" formatCode="#,##0_);[Red]\(#,##0\)"/>
    </dxf>
    <dxf>
      <numFmt numFmtId="178" formatCode="0_);[Red]\(0\)"/>
    </dxf>
    <dxf>
      <numFmt numFmtId="178" formatCode="0_);[Red]\(0\)"/>
    </dxf>
    <dxf>
      <numFmt numFmtId="178" formatCode="0_);[Red]\(0\)"/>
    </dxf>
    <dxf>
      <numFmt numFmtId="181" formatCode="#,##0.00_);[Red]\(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ashed">
          <color auto="1"/>
        </vertical>
        <horizontal style="dashed">
          <color auto="1"/>
        </horizontal>
      </border>
    </dxf>
    <dxf>
      <numFmt numFmtId="181" formatCode="#,##0.00_);[Red]\(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ashed">
          <color auto="1"/>
        </vertical>
        <horizontal style="dashed">
          <color auto="1"/>
        </horizontal>
      </border>
    </dxf>
    <dxf>
      <numFmt numFmtId="181" formatCode="#,##0.00_);[Red]\(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ashed">
          <color auto="1"/>
        </vertical>
        <horizontal style="dashed">
          <color auto="1"/>
        </horizontal>
      </border>
    </dxf>
    <dxf>
      <numFmt numFmtId="181" formatCode="#,##0.00_);[Red]\(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ashed">
          <color auto="1"/>
        </vertical>
        <horizontal style="dashed">
          <color auto="1"/>
        </horizontal>
      </border>
    </dxf>
    <dxf>
      <numFmt numFmtId="181" formatCode="#,##0.00_);[Red]\(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ashed">
          <color auto="1"/>
        </vertical>
        <horizontal style="dashed">
          <color auto="1"/>
        </horizontal>
      </border>
    </dxf>
    <dxf>
      <numFmt numFmtId="181" formatCode="#,##0.00_);[Red]\(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ashed">
          <color auto="1"/>
        </vertical>
        <horizontal style="dashed">
          <color auto="1"/>
        </horizontal>
      </border>
    </dxf>
    <dxf>
      <numFmt numFmtId="181" formatCode="#,##0.00_);[Red]\(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ashed">
          <color auto="1"/>
        </vertical>
        <horizontal style="dashed">
          <color auto="1"/>
        </horizontal>
      </border>
    </dxf>
    <dxf>
      <numFmt numFmtId="180" formatCode="#,##0_);[Red]\(#,##0\)"/>
    </dxf>
    <dxf>
      <numFmt numFmtId="178" formatCode="0_);[Red]\(0\)"/>
    </dxf>
    <dxf>
      <numFmt numFmtId="180" formatCode="#,##0_);[Red]\(#,##0\)"/>
    </dxf>
    <dxf>
      <numFmt numFmtId="1" formatCode="0"/>
    </dxf>
    <dxf>
      <numFmt numFmtId="178" formatCode="0_);[Red]\(0\)"/>
    </dxf>
    <dxf>
      <font>
        <b/>
      </font>
      <numFmt numFmtId="180" formatCode="#,##0_);[Red]\(#,##0\)"/>
    </dxf>
    <dxf>
      <font>
        <b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/>
      </font>
    </dxf>
    <dxf>
      <numFmt numFmtId="180" formatCode="#,##0_);[Red]\(#,##0\)"/>
    </dxf>
    <dxf>
      <numFmt numFmtId="178" formatCode="0_);[Red]\(0\)"/>
    </dxf>
    <dxf>
      <numFmt numFmtId="178" formatCode="0_);[Red]\(0\)"/>
    </dxf>
    <dxf>
      <numFmt numFmtId="178" formatCode="0_);[Red]\(0\)"/>
    </dxf>
    <dxf>
      <numFmt numFmtId="181" formatCode="#,##0.00_);[Red]\(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ashed">
          <color auto="1"/>
        </vertical>
        <horizontal style="dashed">
          <color auto="1"/>
        </horizontal>
      </border>
    </dxf>
    <dxf>
      <numFmt numFmtId="181" formatCode="#,##0.00_);[Red]\(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ashed">
          <color auto="1"/>
        </vertical>
        <horizontal style="dashed">
          <color auto="1"/>
        </horizontal>
      </border>
    </dxf>
    <dxf>
      <numFmt numFmtId="181" formatCode="#,##0.00_);[Red]\(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ashed">
          <color auto="1"/>
        </vertical>
        <horizontal style="dashed">
          <color auto="1"/>
        </horizontal>
      </border>
    </dxf>
    <dxf>
      <numFmt numFmtId="181" formatCode="#,##0.00_);[Red]\(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ashed">
          <color auto="1"/>
        </vertical>
        <horizontal style="dashed">
          <color auto="1"/>
        </horizontal>
      </border>
    </dxf>
    <dxf>
      <numFmt numFmtId="181" formatCode="#,##0.00_);[Red]\(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ashed">
          <color auto="1"/>
        </vertical>
        <horizontal style="dashed">
          <color auto="1"/>
        </horizontal>
      </border>
    </dxf>
    <dxf>
      <numFmt numFmtId="181" formatCode="#,##0.00_);[Red]\(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ashed">
          <color auto="1"/>
        </vertical>
        <horizontal style="dashed">
          <color auto="1"/>
        </horizontal>
      </border>
    </dxf>
    <dxf>
      <numFmt numFmtId="181" formatCode="#,##0.00_);[Red]\(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ashed">
          <color auto="1"/>
        </vertical>
        <horizontal style="dashed">
          <color auto="1"/>
        </horizontal>
      </border>
    </dxf>
    <dxf>
      <numFmt numFmtId="1" formatCode="0"/>
    </dxf>
    <dxf>
      <numFmt numFmtId="1" formatCode="0"/>
    </dxf>
    <dxf>
      <numFmt numFmtId="180" formatCode="#,##0_);[Red]\(#,##0\)"/>
    </dxf>
    <dxf>
      <numFmt numFmtId="178" formatCode="0_);[Red]\(0\)"/>
    </dxf>
    <dxf>
      <numFmt numFmtId="180" formatCode="#,##0_);[Red]\(#,##0\)"/>
    </dxf>
    <dxf>
      <numFmt numFmtId="1" formatCode="0"/>
    </dxf>
    <dxf>
      <numFmt numFmtId="178" formatCode="0_);[Red]\(0\)"/>
    </dxf>
    <dxf>
      <font>
        <b/>
      </font>
      <numFmt numFmtId="180" formatCode="#,##0_);[Red]\(#,##0\)"/>
    </dxf>
    <dxf>
      <font>
        <b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/>
      </font>
    </dxf>
    <dxf>
      <numFmt numFmtId="180" formatCode="#,##0_);[Red]\(#,##0\)"/>
    </dxf>
    <dxf>
      <numFmt numFmtId="178" formatCode="0_);[Red]\(0\)"/>
    </dxf>
    <dxf>
      <numFmt numFmtId="178" formatCode="0_);[Red]\(0\)"/>
    </dxf>
    <dxf>
      <numFmt numFmtId="178" formatCode="0_);[Red]\(0\)"/>
    </dxf>
    <dxf>
      <numFmt numFmtId="181" formatCode="#,##0.00_);[Red]\(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ashed">
          <color auto="1"/>
        </vertical>
        <horizontal style="dashed">
          <color auto="1"/>
        </horizontal>
      </border>
    </dxf>
    <dxf>
      <numFmt numFmtId="181" formatCode="#,##0.00_);[Red]\(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ashed">
          <color auto="1"/>
        </vertical>
        <horizontal style="dashed">
          <color auto="1"/>
        </horizontal>
      </border>
    </dxf>
    <dxf>
      <numFmt numFmtId="181" formatCode="#,##0.00_);[Red]\(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ashed">
          <color auto="1"/>
        </vertical>
        <horizontal style="dashed">
          <color auto="1"/>
        </horizontal>
      </border>
    </dxf>
    <dxf>
      <numFmt numFmtId="181" formatCode="#,##0.00_);[Red]\(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ashed">
          <color auto="1"/>
        </vertical>
        <horizontal style="dashed">
          <color auto="1"/>
        </horizontal>
      </border>
    </dxf>
    <dxf>
      <numFmt numFmtId="181" formatCode="#,##0.00_);[Red]\(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ashed">
          <color auto="1"/>
        </vertical>
        <horizontal style="dashed">
          <color auto="1"/>
        </horizontal>
      </border>
    </dxf>
    <dxf>
      <numFmt numFmtId="181" formatCode="#,##0.00_);[Red]\(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ashed">
          <color auto="1"/>
        </vertical>
        <horizontal style="dashed">
          <color auto="1"/>
        </horizontal>
      </border>
    </dxf>
    <dxf>
      <numFmt numFmtId="181" formatCode="#,##0.00_);[Red]\(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ashed">
          <color auto="1"/>
        </vertical>
        <horizontal style="dashed">
          <color auto="1"/>
        </horizontal>
      </border>
    </dxf>
    <dxf>
      <numFmt numFmtId="178" formatCode="0_);[Red]\(0\)"/>
    </dxf>
    <dxf>
      <numFmt numFmtId="1" formatCode="0"/>
    </dxf>
    <dxf>
      <numFmt numFmtId="180" formatCode="#,##0_);[Red]\(#,##0\)"/>
    </dxf>
    <dxf>
      <numFmt numFmtId="1" formatCode="0"/>
    </dxf>
    <dxf>
      <numFmt numFmtId="178" formatCode="0_);[Red]\(0\)"/>
    </dxf>
    <dxf>
      <font>
        <b/>
      </font>
      <numFmt numFmtId="180" formatCode="#,##0_);[Red]\(#,##0\)"/>
    </dxf>
    <dxf>
      <font>
        <b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/>
      </font>
    </dxf>
    <dxf>
      <numFmt numFmtId="180" formatCode="#,##0_);[Red]\(#,##0\)"/>
    </dxf>
    <dxf>
      <numFmt numFmtId="178" formatCode="0_);[Red]\(0\)"/>
    </dxf>
    <dxf>
      <numFmt numFmtId="178" formatCode="0_);[Red]\(0\)"/>
    </dxf>
    <dxf>
      <numFmt numFmtId="178" formatCode="0_);[Red]\(0\)"/>
    </dxf>
    <dxf>
      <numFmt numFmtId="181" formatCode="#,##0.00_);[Red]\(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ashed">
          <color auto="1"/>
        </vertical>
        <horizontal style="dashed">
          <color auto="1"/>
        </horizontal>
      </border>
    </dxf>
    <dxf>
      <numFmt numFmtId="181" formatCode="#,##0.00_);[Red]\(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ashed">
          <color auto="1"/>
        </vertical>
        <horizontal style="dashed">
          <color auto="1"/>
        </horizontal>
      </border>
    </dxf>
    <dxf>
      <numFmt numFmtId="181" formatCode="#,##0.00_);[Red]\(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ashed">
          <color auto="1"/>
        </vertical>
        <horizontal style="dashed">
          <color auto="1"/>
        </horizontal>
      </border>
    </dxf>
    <dxf>
      <numFmt numFmtId="181" formatCode="#,##0.00_);[Red]\(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ashed">
          <color auto="1"/>
        </vertical>
        <horizontal style="dashed">
          <color auto="1"/>
        </horizontal>
      </border>
    </dxf>
    <dxf>
      <numFmt numFmtId="181" formatCode="#,##0.00_);[Red]\(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ashed">
          <color auto="1"/>
        </vertical>
        <horizontal style="dashed">
          <color auto="1"/>
        </horizontal>
      </border>
    </dxf>
    <dxf>
      <numFmt numFmtId="181" formatCode="#,##0.00_);[Red]\(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ashed">
          <color auto="1"/>
        </vertical>
        <horizontal style="dashed">
          <color auto="1"/>
        </horizontal>
      </border>
    </dxf>
    <dxf>
      <numFmt numFmtId="181" formatCode="#,##0.00_);[Red]\(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ashed">
          <color auto="1"/>
        </vertical>
        <horizontal style="dashed">
          <color auto="1"/>
        </horizontal>
      </border>
    </dxf>
    <dxf>
      <numFmt numFmtId="178" formatCode="0_);[Red]\(0\)"/>
    </dxf>
    <dxf>
      <numFmt numFmtId="178" formatCode="0_);[Red]\(0\)"/>
    </dxf>
    <dxf>
      <font>
        <b/>
      </font>
      <numFmt numFmtId="180" formatCode="#,##0_);[Red]\(#,##0\)"/>
    </dxf>
    <dxf>
      <font>
        <b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/>
      </font>
    </dxf>
    <dxf>
      <numFmt numFmtId="180" formatCode="#,##0_);[Red]\(#,##0\)"/>
    </dxf>
    <dxf>
      <numFmt numFmtId="178" formatCode="0_);[Red]\(0\)"/>
    </dxf>
    <dxf>
      <numFmt numFmtId="178" formatCode="0_);[Red]\(0\)"/>
    </dxf>
    <dxf>
      <numFmt numFmtId="178" formatCode="0_);[Red]\(0\)"/>
    </dxf>
    <dxf>
      <numFmt numFmtId="181" formatCode="#,##0.00_);[Red]\(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ashed">
          <color auto="1"/>
        </vertical>
        <horizontal style="dashed">
          <color auto="1"/>
        </horizontal>
      </border>
    </dxf>
    <dxf>
      <numFmt numFmtId="181" formatCode="#,##0.00_);[Red]\(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ashed">
          <color auto="1"/>
        </vertical>
        <horizontal style="dashed">
          <color auto="1"/>
        </horizontal>
      </border>
    </dxf>
    <dxf>
      <numFmt numFmtId="181" formatCode="#,##0.00_);[Red]\(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ashed">
          <color auto="1"/>
        </vertical>
        <horizontal style="dashed">
          <color auto="1"/>
        </horizontal>
      </border>
    </dxf>
    <dxf>
      <numFmt numFmtId="181" formatCode="#,##0.00_);[Red]\(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ashed">
          <color auto="1"/>
        </vertical>
        <horizontal style="dashed">
          <color auto="1"/>
        </horizontal>
      </border>
    </dxf>
    <dxf>
      <numFmt numFmtId="181" formatCode="#,##0.00_);[Red]\(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ashed">
          <color auto="1"/>
        </vertical>
        <horizontal style="dashed">
          <color auto="1"/>
        </horizontal>
      </border>
    </dxf>
    <dxf>
      <numFmt numFmtId="181" formatCode="#,##0.00_);[Red]\(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ashed">
          <color auto="1"/>
        </vertical>
        <horizontal style="dashed">
          <color auto="1"/>
        </horizontal>
      </border>
    </dxf>
    <dxf>
      <numFmt numFmtId="181" formatCode="#,##0.00_);[Red]\(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ashed">
          <color auto="1"/>
        </vertical>
        <horizontal style="dashed">
          <color auto="1"/>
        </horizontal>
      </border>
    </dxf>
    <dxf>
      <numFmt numFmtId="178" formatCode="0_);[Red]\(0\)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78" formatCode="0_);[Red]\(0\)"/>
    </dxf>
    <dxf>
      <font>
        <b/>
      </font>
      <numFmt numFmtId="180" formatCode="#,##0_);[Red]\(#,##0\)"/>
    </dxf>
    <dxf>
      <font>
        <b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/>
      </font>
    </dxf>
    <dxf>
      <numFmt numFmtId="180" formatCode="#,##0_);[Red]\(#,##0\)"/>
    </dxf>
    <dxf>
      <numFmt numFmtId="178" formatCode="0_);[Red]\(0\)"/>
    </dxf>
    <dxf>
      <numFmt numFmtId="178" formatCode="0_);[Red]\(0\)"/>
    </dxf>
    <dxf>
      <numFmt numFmtId="178" formatCode="0_);[Red]\(0\)"/>
    </dxf>
    <dxf>
      <numFmt numFmtId="181" formatCode="#,##0.00_);[Red]\(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ashed">
          <color auto="1"/>
        </vertical>
        <horizontal style="dashed">
          <color auto="1"/>
        </horizontal>
      </border>
    </dxf>
    <dxf>
      <numFmt numFmtId="181" formatCode="#,##0.00_);[Red]\(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ashed">
          <color auto="1"/>
        </vertical>
        <horizontal style="dashed">
          <color auto="1"/>
        </horizontal>
      </border>
    </dxf>
    <dxf>
      <numFmt numFmtId="181" formatCode="#,##0.00_);[Red]\(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ashed">
          <color auto="1"/>
        </vertical>
        <horizontal style="dashed">
          <color auto="1"/>
        </horizontal>
      </border>
    </dxf>
    <dxf>
      <numFmt numFmtId="181" formatCode="#,##0.00_);[Red]\(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ashed">
          <color auto="1"/>
        </vertical>
        <horizontal style="dashed">
          <color auto="1"/>
        </horizontal>
      </border>
    </dxf>
    <dxf>
      <numFmt numFmtId="181" formatCode="#,##0.00_);[Red]\(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ashed">
          <color auto="1"/>
        </vertical>
        <horizontal style="dashed">
          <color auto="1"/>
        </horizontal>
      </border>
    </dxf>
    <dxf>
      <numFmt numFmtId="181" formatCode="#,##0.00_);[Red]\(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ashed">
          <color auto="1"/>
        </vertical>
        <horizontal style="dashed">
          <color auto="1"/>
        </horizontal>
      </border>
    </dxf>
    <dxf>
      <numFmt numFmtId="181" formatCode="#,##0.00_);[Red]\(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ashed">
          <color auto="1"/>
        </vertical>
        <horizontal style="dashed">
          <color auto="1"/>
        </horizontal>
      </border>
    </dxf>
    <dxf>
      <font>
        <b/>
      </font>
      <numFmt numFmtId="180" formatCode="#,##0_);[Red]\(#,##0\)"/>
    </dxf>
    <dxf>
      <font>
        <b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/>
      </font>
    </dxf>
    <dxf>
      <numFmt numFmtId="180" formatCode="#,##0_);[Red]\(#,##0\)"/>
    </dxf>
    <dxf>
      <numFmt numFmtId="178" formatCode="0_);[Red]\(0\)"/>
    </dxf>
    <dxf>
      <numFmt numFmtId="178" formatCode="0_);[Red]\(0\)"/>
    </dxf>
    <dxf>
      <numFmt numFmtId="178" formatCode="0_);[Red]\(0\)"/>
    </dxf>
    <dxf>
      <numFmt numFmtId="181" formatCode="#,##0.00_);[Red]\(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ashed">
          <color auto="1"/>
        </vertical>
        <horizontal style="dashed">
          <color auto="1"/>
        </horizontal>
      </border>
    </dxf>
    <dxf>
      <numFmt numFmtId="181" formatCode="#,##0.00_);[Red]\(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ashed">
          <color auto="1"/>
        </vertical>
        <horizontal style="dashed">
          <color auto="1"/>
        </horizontal>
      </border>
    </dxf>
    <dxf>
      <numFmt numFmtId="181" formatCode="#,##0.00_);[Red]\(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ashed">
          <color auto="1"/>
        </vertical>
        <horizontal style="dashed">
          <color auto="1"/>
        </horizontal>
      </border>
    </dxf>
    <dxf>
      <numFmt numFmtId="181" formatCode="#,##0.00_);[Red]\(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ashed">
          <color auto="1"/>
        </vertical>
        <horizontal style="dashed">
          <color auto="1"/>
        </horizontal>
      </border>
    </dxf>
    <dxf>
      <numFmt numFmtId="181" formatCode="#,##0.00_);[Red]\(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ashed">
          <color auto="1"/>
        </vertical>
        <horizontal style="dashed">
          <color auto="1"/>
        </horizontal>
      </border>
    </dxf>
    <dxf>
      <numFmt numFmtId="181" formatCode="#,##0.00_);[Red]\(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ashed">
          <color auto="1"/>
        </vertical>
        <horizontal style="dashed">
          <color auto="1"/>
        </horizontal>
      </border>
    </dxf>
    <dxf>
      <numFmt numFmtId="181" formatCode="#,##0.00_);[Red]\(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ashed">
          <color auto="1"/>
        </vertical>
        <horizontal style="dashed">
          <color auto="1"/>
        </horizontal>
      </border>
    </dxf>
    <dxf>
      <numFmt numFmtId="178" formatCode="0_);[Red]\(0\)"/>
    </dxf>
    <dxf>
      <font>
        <b/>
      </font>
    </dxf>
    <dxf>
      <font>
        <b/>
      </font>
    </dxf>
    <dxf>
      <numFmt numFmtId="178" formatCode="0_);[Red]\(0\)"/>
    </dxf>
    <dxf>
      <font>
        <b/>
      </font>
      <numFmt numFmtId="180" formatCode="#,##0_);[Red]\(#,##0\)"/>
    </dxf>
    <dxf>
      <font>
        <b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/>
      </font>
    </dxf>
    <dxf>
      <numFmt numFmtId="180" formatCode="#,##0_);[Red]\(#,##0\)"/>
    </dxf>
    <dxf>
      <numFmt numFmtId="178" formatCode="0_);[Red]\(0\)"/>
    </dxf>
    <dxf>
      <numFmt numFmtId="178" formatCode="0_);[Red]\(0\)"/>
    </dxf>
    <dxf>
      <numFmt numFmtId="178" formatCode="0_);[Red]\(0\)"/>
    </dxf>
    <dxf>
      <numFmt numFmtId="181" formatCode="#,##0.00_);[Red]\(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ashed">
          <color auto="1"/>
        </vertical>
        <horizontal style="dashed">
          <color auto="1"/>
        </horizontal>
      </border>
    </dxf>
    <dxf>
      <numFmt numFmtId="181" formatCode="#,##0.00_);[Red]\(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ashed">
          <color auto="1"/>
        </vertical>
        <horizontal style="dashed">
          <color auto="1"/>
        </horizontal>
      </border>
    </dxf>
    <dxf>
      <numFmt numFmtId="181" formatCode="#,##0.00_);[Red]\(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ashed">
          <color auto="1"/>
        </vertical>
        <horizontal style="dashed">
          <color auto="1"/>
        </horizontal>
      </border>
    </dxf>
    <dxf>
      <numFmt numFmtId="181" formatCode="#,##0.00_);[Red]\(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ashed">
          <color auto="1"/>
        </vertical>
        <horizontal style="dashed">
          <color auto="1"/>
        </horizontal>
      </border>
    </dxf>
    <dxf>
      <numFmt numFmtId="181" formatCode="#,##0.00_);[Red]\(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ashed">
          <color auto="1"/>
        </vertical>
        <horizontal style="dashed">
          <color auto="1"/>
        </horizontal>
      </border>
    </dxf>
    <dxf>
      <numFmt numFmtId="181" formatCode="#,##0.00_);[Red]\(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ashed">
          <color auto="1"/>
        </vertical>
        <horizontal style="dashed">
          <color auto="1"/>
        </horizontal>
      </border>
    </dxf>
    <dxf>
      <numFmt numFmtId="181" formatCode="#,##0.00_);[Red]\(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ashed">
          <color auto="1"/>
        </vertical>
        <horizontal style="dashed">
          <color auto="1"/>
        </horizontal>
      </border>
    </dxf>
    <dxf>
      <numFmt numFmtId="180" formatCode="#,##0_);[Red]\(#,##0\)"/>
    </dxf>
    <dxf>
      <numFmt numFmtId="1" formatCode="0"/>
    </dxf>
    <dxf>
      <numFmt numFmtId="180" formatCode="#,##0_);[Red]\(#,##0\)"/>
    </dxf>
    <dxf>
      <numFmt numFmtId="180" formatCode="#,##0_);[Red]\(#,##0\)"/>
    </dxf>
    <dxf>
      <numFmt numFmtId="180" formatCode="#,##0_);[Red]\(#,##0\)"/>
    </dxf>
    <dxf>
      <numFmt numFmtId="1" formatCode="0"/>
    </dxf>
    <dxf>
      <numFmt numFmtId="180" formatCode="#,##0_);[Red]\(#,##0\)"/>
    </dxf>
    <dxf>
      <numFmt numFmtId="180" formatCode="#,##0_);[Red]\(#,##0\)"/>
    </dxf>
    <dxf>
      <numFmt numFmtId="178" formatCode="0_);[Red]\(0\)"/>
    </dxf>
    <dxf>
      <numFmt numFmtId="180" formatCode="#,##0_);[Red]\(#,##0\)"/>
    </dxf>
    <dxf>
      <numFmt numFmtId="1" formatCode="0"/>
    </dxf>
    <dxf>
      <numFmt numFmtId="178" formatCode="0_);[Red]\(0\)"/>
    </dxf>
    <dxf>
      <font>
        <b/>
      </font>
      <numFmt numFmtId="180" formatCode="#,##0_);[Red]\(#,##0\)"/>
    </dxf>
    <dxf>
      <font>
        <b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/>
      </font>
    </dxf>
    <dxf>
      <numFmt numFmtId="180" formatCode="#,##0_);[Red]\(#,##0\)"/>
    </dxf>
    <dxf>
      <numFmt numFmtId="178" formatCode="0_);[Red]\(0\)"/>
    </dxf>
    <dxf>
      <numFmt numFmtId="178" formatCode="0_);[Red]\(0\)"/>
    </dxf>
    <dxf>
      <numFmt numFmtId="178" formatCode="0_);[Red]\(0\)"/>
    </dxf>
    <dxf>
      <numFmt numFmtId="181" formatCode="#,##0.00_);[Red]\(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ashed">
          <color auto="1"/>
        </vertical>
        <horizontal style="dashed">
          <color auto="1"/>
        </horizontal>
      </border>
    </dxf>
    <dxf>
      <numFmt numFmtId="181" formatCode="#,##0.00_);[Red]\(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ashed">
          <color auto="1"/>
        </vertical>
        <horizontal style="dashed">
          <color auto="1"/>
        </horizontal>
      </border>
    </dxf>
    <dxf>
      <numFmt numFmtId="181" formatCode="#,##0.00_);[Red]\(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ashed">
          <color auto="1"/>
        </vertical>
        <horizontal style="dashed">
          <color auto="1"/>
        </horizontal>
      </border>
    </dxf>
    <dxf>
      <numFmt numFmtId="181" formatCode="#,##0.00_);[Red]\(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ashed">
          <color auto="1"/>
        </vertical>
        <horizontal style="dashed">
          <color auto="1"/>
        </horizontal>
      </border>
    </dxf>
    <dxf>
      <numFmt numFmtId="181" formatCode="#,##0.00_);[Red]\(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ashed">
          <color auto="1"/>
        </vertical>
        <horizontal style="dashed">
          <color auto="1"/>
        </horizontal>
      </border>
    </dxf>
    <dxf>
      <numFmt numFmtId="181" formatCode="#,##0.00_);[Red]\(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ashed">
          <color auto="1"/>
        </vertical>
        <horizontal style="dashed">
          <color auto="1"/>
        </horizontal>
      </border>
    </dxf>
    <dxf>
      <numFmt numFmtId="181" formatCode="#,##0.00_);[Red]\(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ashed">
          <color auto="1"/>
        </vertical>
        <horizontal style="dashed">
          <color auto="1"/>
        </horizontal>
      </border>
    </dxf>
    <dxf>
      <numFmt numFmtId="35" formatCode="_-* #,##0.00_-;\-* #,##0.00_-;_-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043D9F"/>
      <color rgb="FF2BCB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216.459715625002" createdVersion="5" refreshedVersion="5" minRefreshableVersion="3" recordCount="569">
  <cacheSource type="worksheet">
    <worksheetSource ref="A3:L2042" sheet="奉獻明細"/>
  </cacheSource>
  <cacheFields count="12">
    <cacheField name="奉獻日" numFmtId="0">
      <sharedItems containsNonDate="0" containsDate="1" containsString="0" containsBlank="1" minDate="2026-01-04T00:00:00" maxDate="2026-12-30T00:00:00"/>
    </cacheField>
    <cacheField name="月份" numFmtId="0">
      <sharedItems containsString="0" containsBlank="1" containsNumber="1" containsInteger="1" minValue="1" maxValue="12" count="13">
        <n v="1"/>
        <n v="2"/>
        <n v="3"/>
        <n v="4"/>
        <n v="5"/>
        <n v="6"/>
        <n v="7"/>
        <n v="8"/>
        <n v="9"/>
        <n v="10"/>
        <n v="11"/>
        <n v="12"/>
        <m/>
      </sharedItems>
    </cacheField>
    <cacheField name="週次" numFmtId="0">
      <sharedItems containsString="0" containsBlank="1" containsNumber="1" containsInteger="1" minValue="0" maxValue="53" count="55"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0"/>
        <m/>
        <n v="1" u="1"/>
        <n v="28" u="1"/>
      </sharedItems>
    </cacheField>
    <cacheField name="姓名編號" numFmtId="0">
      <sharedItems containsBlank="1" containsMixedTypes="1" containsNumber="1" containsInteger="1" minValue="1" maxValue="120" count="46">
        <n v="17"/>
        <n v="9"/>
        <n v="20"/>
        <n v="41"/>
        <n v="45"/>
        <n v="18"/>
        <n v="11"/>
        <n v="8"/>
        <n v="120"/>
        <n v="27"/>
        <n v="10"/>
        <n v="13"/>
        <n v="12"/>
        <s v="17-2"/>
        <s v="40-2"/>
        <n v="2"/>
        <n v="25"/>
        <n v="46"/>
        <n v="7"/>
        <n v="47"/>
        <n v="40"/>
        <n v="42"/>
        <n v="6"/>
        <n v="26"/>
        <n v="19"/>
        <m/>
        <n v="36" u="1"/>
        <n v="38" u="1"/>
        <n v="5" u="1"/>
        <n v="15" u="1"/>
        <n v="16" u="1"/>
        <n v="33" u="1"/>
        <n v="21" u="1"/>
        <n v="35" u="1"/>
        <n v="22" u="1"/>
        <n v="37" u="1"/>
        <n v="1" u="1"/>
        <n v="23" u="1"/>
        <n v="3" u="1"/>
        <n v="39" u="1"/>
        <n v="43" u="1"/>
        <n v="28" u="1"/>
        <n v="29" u="1"/>
        <n v="30" u="1"/>
        <n v="31" u="1"/>
        <n v="32" u="1"/>
      </sharedItems>
    </cacheField>
    <cacheField name="姓名" numFmtId="0">
      <sharedItems containsBlank="1" count="131">
        <s v="YU Ching Cheung天香/張譽馨"/>
        <s v="Min Deng鄧敏 Sandy"/>
        <s v="不具名"/>
        <s v="王思旭 Sixu Wang(王悅玲)"/>
        <s v="Dong Fang Li李東方"/>
        <s v="Yan Cheng程雁"/>
        <s v="Yu Mei Feng馮俞梅"/>
        <s v="Christopher Liu Pamela Yu Liu"/>
        <s v="Xing Chen Lu-Michell"/>
        <s v="Sylvia Fine小元Charles"/>
        <s v="Yu Y Kang, Lie Chang Zhu"/>
        <s v="Ed &amp;Allison Lee"/>
        <s v="Yu Hui Zhao趙宇輝 Yu Fei"/>
        <s v="劉珈因Lau Ka Yan(Renee)"/>
        <s v="Jing"/>
        <s v="Hung-Ben David Lo"/>
        <s v="Qj Qin Pan(QQ Healing Message)"/>
        <s v="喬阿姨Yen Pin Liu Chiao"/>
        <s v="胡穎Hu Ying"/>
        <s v="Liya Xia"/>
        <s v="林敏雄Mr.&amp;Mrs. Min-Shyong Lin"/>
        <s v="Hong Wang王宏"/>
        <s v="Suk Kuen Chan Lo Pastor Rainbow"/>
        <s v="Xia Lian Zhang張夏蓮"/>
        <s v="Joseph Wu&amp;Mei Chen"/>
        <s v="黃小紅"/>
        <s v="Wei Yan Hua"/>
        <s v="Yvonne Chi-Ping Lan &amp; Ming Lei Yeh"/>
        <s v="盧瑾"/>
        <s v="Frank T. Chui"/>
        <e v="#N/A"/>
        <m/>
        <s v="Suk Kuen Chan Lo" u="1"/>
        <s v="Ying Fing Huang" u="1"/>
        <s v="鄧敏(Sandy)" u="1"/>
        <s v="WenQing Wendy Qi &amp;Peng Paul Lin" u="1"/>
        <s v="YU Ching Cheung天香" u="1"/>
        <s v="Curtis and Charlene" u="1"/>
        <s v="Pam &amp; Chris" u="1"/>
        <s v="王思旭 Si Xu Wang(王悅玲)" u="1"/>
        <s v="Dong Tang Li" u="1"/>
        <s v="Pam &amp; Christopher Liu" u="1"/>
        <s v="何海云" u="1"/>
        <s v="YU Ching Cheung天香 劉珈因Lau Ka Yan(Renee)" u="1"/>
        <s v="Chi-Ping Lan &amp; Ming Lei Yeh" u="1"/>
        <s v="Eden Liu" u="1"/>
        <s v="JianQing Li建清" u="1"/>
        <s v="Sylvia Fine小元" u="1"/>
        <s v="Yu Hui Zhao宇輝" u="1"/>
        <s v="Yu Mei Feng" u="1"/>
        <s v="Yuelong Jiang蔣躍龍 楊茹 " u="1"/>
        <s v="Shirley Fine范媽媽" u="1"/>
        <s v="Li Yang" u="1"/>
        <s v="Pam &amp; Chris Liu" u="1"/>
        <s v="Yu Hui Zhao趙宇輝" u="1"/>
        <s v="Hong Wang 王宏(若琴)" u="1"/>
        <s v="Larry Zhang" u="1"/>
        <s v="Jin He Cui/Xia Ping Cui" u="1"/>
        <s v="JoanQing Li建清" u="1"/>
        <s v="恩雨之聲講員" u="1"/>
        <s v="Li Lei Cui" u="1"/>
        <s v="Chi-Shing Jeff Hong" u="1"/>
        <s v="Sylvia Fine" u="1"/>
        <s v="Ngok Chan" u="1"/>
        <s v="Charles C Liu" u="1"/>
        <s v="邱英" u="1"/>
        <s v="程艷" u="1"/>
        <s v="待查明奉獻人" u="1"/>
        <s v="Fu Ching Liu劉富敬牧師" u="1"/>
        <s v="李東方" u="1"/>
        <s v="Ed &amp;Allison Li" u="1"/>
        <s v="Kevin L. Li" u="1"/>
        <s v="Ida Siu(蕭太)" u="1"/>
        <s v="Winnie Eng" u="1"/>
        <s v="Yan Cheng程豔" u="1"/>
        <s v="Yu Kang, Lie Chang Zhu" u="1"/>
        <s v="吳悠" u="1"/>
        <s v="竹英" u="1"/>
        <s v="線上聚會(沒有收奉獻)" u="1"/>
        <s v="Frank T. Ch" u="1"/>
        <s v="Stephanie Tsai" u="1"/>
        <s v="周阿姨" u="1"/>
        <s v="Hong Wang" u="1"/>
        <s v="Wendy Qi &amp; Paul Lin" u="1"/>
        <s v="Healing Room" u="1"/>
        <s v="Yan Cheng" u="1"/>
        <s v="Min Deng鄧敏" u="1"/>
        <s v="Kaiwen Yang(Shan Hong Kaiwen)" u="1"/>
        <s v="Curtis &amp; Charlene" u="1"/>
        <s v="Liping Zhao趙" u="1"/>
        <s v="Oj Qin Pan(QQ Healing Message)" u="1"/>
        <s v="Yu Mei Feng俞梅" u="1"/>
        <s v="吳小紅" u="1"/>
        <s v="YU Ching Cheung" u="1"/>
        <s v="Pwin Tuntasoon" u="1"/>
        <s v="楊茹" u="1"/>
        <s v="保險公司賠償款" u="1"/>
        <s v="Gui Ba Chai" u="1"/>
        <s v="Lie Chang Zhu" u="1"/>
        <s v="王悅玲" u="1"/>
        <s v="Stephanie Hain-en Thai" u="1"/>
        <s v="Ming C Li" u="1"/>
        <s v="其他" u="1"/>
        <s v="Hong Wang 王宏" u="1"/>
        <s v="Yu Ma" u="1"/>
        <s v="Yu Kang" u="1"/>
        <s v="Ying Fing Huang22932 SE 43rd Pl Sammamish Wa 98075" u="1"/>
        <s v="Min Deng" u="1"/>
        <s v="Yvonne(Minglei )Yeh" u="1"/>
        <s v="Si Qi Wang" u="1"/>
        <s v="何馨" u="1"/>
        <s v="余牧師&amp;琳玲" u="1"/>
        <s v="Liping Zhao" u="1"/>
        <s v="Stephen &amp; Hsin-Ju Shih(Amy)" u="1"/>
        <s v="喬阿姨Yen Pin Li Chiao" u="1"/>
        <s v="Lingeng Yuan袁琳庚Jack" u="1"/>
        <s v="Ed &amp;Allison" u="1"/>
        <s v="Quo Fang Shi" u="1"/>
        <s v="JianQing Li" u="1"/>
        <s v="Dong Tang Li(李東方)" u="1"/>
        <s v="劉珈因" u="1"/>
        <s v="Kaiwen Yang" u="1"/>
        <s v="Fidelity-Eric" u="1"/>
        <s v="Li Lei Cui 崔(黃老師)" u="1"/>
        <s v="Lingeng Yuan袁林庚Jack" u="1"/>
        <s v="Shirley Fine" u="1"/>
        <s v="Wendy Qi&amp;Paul Lin" u="1"/>
        <s v="Ying Hue" u="1"/>
        <s v="Yvonne L Waver" u="1"/>
        <s v="范媽媽" u="1"/>
        <s v="Yu Kang, Liedeng Zhu" u="1"/>
      </sharedItems>
    </cacheField>
    <cacheField name="奉獻項目編號" numFmtId="0">
      <sharedItems containsBlank="1"/>
    </cacheField>
    <cacheField name="奉獻項目" numFmtId="0">
      <sharedItems containsBlank="1" count="7">
        <s v="主日奉獻"/>
        <s v="什一奉獻"/>
        <s v="其他收入"/>
        <m/>
        <s v="代收奉獻" u="1"/>
        <e v="#N/A" u="1"/>
        <s v="宣教奉獻" u="1"/>
      </sharedItems>
    </cacheField>
    <cacheField name="開立支票銀行" numFmtId="0">
      <sharedItems containsBlank="1" containsMixedTypes="1" containsNumber="1" containsInteger="1" minValue="0" maxValue="0"/>
    </cacheField>
    <cacheField name="支票號" numFmtId="0">
      <sharedItems containsString="0" containsBlank="1" containsNumber="1" containsInteger="1" minValue="101" maxValue="953650192"/>
    </cacheField>
    <cacheField name="奉獻金額" numFmtId="0">
      <sharedItems containsString="0" containsBlank="1" containsNumber="1" minValue="1.07" maxValue="3000"/>
    </cacheField>
    <cacheField name="存入日期" numFmtId="0">
      <sharedItems containsNonDate="0" containsDate="1" containsString="0" containsBlank="1" minDate="2026-01-06T00:00:00" maxDate="2026-06-30T00:00:00"/>
    </cacheField>
    <cacheField name="存入金額" numFmtId="0">
      <sharedItems containsString="0" containsBlank="1" containsNumber="1" minValue="1.07" maxValue="33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USER" refreshedDate="46216.459716898149" createdVersion="5" refreshedVersion="5" minRefreshableVersion="3" recordCount="569">
  <cacheSource type="worksheet">
    <worksheetSource ref="A3:J1002" sheet="奉獻明細"/>
  </cacheSource>
  <cacheFields count="10">
    <cacheField name="奉獻日" numFmtId="0">
      <sharedItems containsNonDate="0" containsDate="1" containsString="0" containsBlank="1" minDate="2026-01-04T00:00:00" maxDate="2026-12-30T00:00:00"/>
    </cacheField>
    <cacheField name="月份" numFmtId="0">
      <sharedItems containsString="0" containsBlank="1" containsNumber="1" containsInteger="1" minValue="1" maxValue="12" count="13">
        <n v="1"/>
        <n v="2"/>
        <n v="3"/>
        <n v="4"/>
        <n v="5"/>
        <n v="6"/>
        <n v="7"/>
        <n v="8"/>
        <n v="9"/>
        <n v="10"/>
        <n v="11"/>
        <n v="12"/>
        <m/>
      </sharedItems>
    </cacheField>
    <cacheField name="週次" numFmtId="0">
      <sharedItems containsString="0" containsBlank="1" containsNumber="1" containsInteger="1" minValue="0" maxValue="53"/>
    </cacheField>
    <cacheField name="姓名編號" numFmtId="0">
      <sharedItems containsBlank="1" containsMixedTypes="1" containsNumber="1" containsInteger="1" minValue="1" maxValue="120" count="37">
        <n v="17"/>
        <n v="9"/>
        <n v="20"/>
        <n v="41"/>
        <n v="45"/>
        <n v="18"/>
        <n v="11"/>
        <n v="8"/>
        <n v="120"/>
        <n v="27"/>
        <n v="10"/>
        <n v="13"/>
        <n v="12"/>
        <s v="17-2"/>
        <s v="40-2"/>
        <n v="2"/>
        <n v="25"/>
        <n v="46"/>
        <n v="7"/>
        <n v="47"/>
        <n v="40"/>
        <n v="42"/>
        <n v="6"/>
        <n v="26"/>
        <n v="19"/>
        <m/>
        <n v="36" u="1"/>
        <n v="5" u="1"/>
        <n v="16" u="1"/>
        <n v="21" u="1"/>
        <n v="22" u="1"/>
        <n v="1" u="1"/>
        <n v="23" u="1"/>
        <n v="43" u="1"/>
        <n v="29" u="1"/>
        <n v="30" u="1"/>
        <n v="31" u="1"/>
      </sharedItems>
    </cacheField>
    <cacheField name="姓名" numFmtId="0">
      <sharedItems containsBlank="1" count="80">
        <s v="YU Ching Cheung天香/張譽馨"/>
        <s v="Min Deng鄧敏 Sandy"/>
        <s v="不具名"/>
        <s v="王思旭 Sixu Wang(王悅玲)"/>
        <s v="Dong Fang Li李東方"/>
        <s v="Yan Cheng程雁"/>
        <s v="Yu Mei Feng馮俞梅"/>
        <s v="Christopher Liu Pamela Yu Liu"/>
        <s v="Xing Chen Lu-Michell"/>
        <s v="Sylvia Fine小元Charles"/>
        <s v="Yu Y Kang, Lie Chang Zhu"/>
        <s v="Ed &amp;Allison Lee"/>
        <s v="Yu Hui Zhao趙宇輝 Yu Fei"/>
        <s v="劉珈因Lau Ka Yan(Renee)"/>
        <s v="Jing"/>
        <s v="Hung-Ben David Lo"/>
        <s v="Qj Qin Pan(QQ Healing Message)"/>
        <s v="喬阿姨Yen Pin Liu Chiao"/>
        <s v="胡穎Hu Ying"/>
        <s v="Liya Xia"/>
        <s v="林敏雄Mr.&amp;Mrs. Min-Shyong Lin"/>
        <s v="Hong Wang王宏"/>
        <s v="Suk Kuen Chan Lo Pastor Rainbow"/>
        <s v="Xia Lian Zhang張夏蓮"/>
        <s v="Joseph Wu&amp;Mei Chen"/>
        <s v="黃小紅"/>
        <s v="Wei Yan Hua"/>
        <s v="Yvonne Chi-Ping Lan &amp; Ming Lei Yeh"/>
        <s v="盧瑾"/>
        <s v="Frank T. Chui"/>
        <e v="#N/A"/>
        <m/>
        <s v="Suk Kuen Chan Lo" u="1"/>
        <s v="Ying Fing Huang" u="1"/>
        <s v="WenQing Wendy Qi &amp;Peng Paul Lin" u="1"/>
        <s v="Curtis and Charlene" u="1"/>
        <s v="王思旭 Si Xu Wang(王悅玲)" u="1"/>
        <s v="Pam &amp; Christopher Liu" u="1"/>
        <s v="何海云" u="1"/>
        <s v="YU Ching Cheung天香 劉珈因Lau Ka Yan(Renee)" u="1"/>
        <s v="JianQing Li建清" u="1"/>
        <s v="Yuelong Jiang蔣躍龍 楊茹 " u="1"/>
        <s v="Shirley Fine范媽媽" u="1"/>
        <s v="Li Yang" u="1"/>
        <s v="Yu Hui Zhao趙宇輝" u="1"/>
        <s v="Hong Wang 王宏(若琴)" u="1"/>
        <s v="Charles C Liu" u="1"/>
        <s v="待查明奉獻人" u="1"/>
        <s v="Fu Ching Liu劉富敬牧師" u="1"/>
        <s v="Ed &amp;Allison Li" u="1"/>
        <s v="Ida Siu(蕭太)" u="1"/>
        <s v="Yan Cheng程豔" u="1"/>
        <s v="Yu Kang, Lie Chang Zhu" u="1"/>
        <s v="線上聚會(沒有收奉獻)" u="1"/>
        <s v="Stephanie Tsai" u="1"/>
        <s v="Hong Wang" u="1"/>
        <s v="Wendy Qi &amp; Paul Lin" u="1"/>
        <s v="Healing Room" u="1"/>
        <s v="Min Deng鄧敏" u="1"/>
        <s v="Kaiwen Yang(Shan Hong Kaiwen)" u="1"/>
        <s v="Liping Zhao趙" u="1"/>
        <s v="Oj Qin Pan(QQ Healing Message)" u="1"/>
        <s v="Yu Mei Feng俞梅" u="1"/>
        <s v="吳小紅" u="1"/>
        <s v="保險公司賠償款" u="1"/>
        <s v="Gui Ba Chai" u="1"/>
        <s v="Lie Chang Zhu" u="1"/>
        <s v="其他" u="1"/>
        <s v="Yu Ma" u="1"/>
        <s v="Ying Fing Huang22932 SE 43rd Pl Sammamish Wa 98075" u="1"/>
        <s v="Si Qi Wang" u="1"/>
        <s v="何馨" u="1"/>
        <s v="余牧師&amp;琳玲" u="1"/>
        <s v="Liping Zhao" u="1"/>
        <s v="Stephen &amp; Hsin-Ju Shih(Amy)" u="1"/>
        <s v="Quo Fang Shi" u="1"/>
        <s v="Li Lei Cui 崔(黃老師)" u="1"/>
        <s v="Lingeng Yuan袁林庚Jack" u="1"/>
        <s v="Ying Hue" u="1"/>
        <s v="Yvonne L Waver" u="1"/>
      </sharedItems>
    </cacheField>
    <cacheField name="奉獻項目編號" numFmtId="0">
      <sharedItems containsBlank="1"/>
    </cacheField>
    <cacheField name="奉獻項目" numFmtId="0">
      <sharedItems containsBlank="1"/>
    </cacheField>
    <cacheField name="開立支票銀行" numFmtId="0">
      <sharedItems containsBlank="1" containsMixedTypes="1" containsNumber="1" containsInteger="1" minValue="0" maxValue="0"/>
    </cacheField>
    <cacheField name="支票號" numFmtId="0">
      <sharedItems containsString="0" containsBlank="1" containsNumber="1" containsInteger="1" minValue="101" maxValue="953650192"/>
    </cacheField>
    <cacheField name="奉獻金額" numFmtId="0">
      <sharedItems containsString="0" containsBlank="1" containsNumber="1" minValue="1.07" maxValue="3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69">
  <r>
    <d v="2026-01-04T00:00:00"/>
    <x v="0"/>
    <x v="0"/>
    <x v="0"/>
    <x v="0"/>
    <s v="a"/>
    <x v="0"/>
    <m/>
    <m/>
    <n v="172"/>
    <m/>
    <m/>
  </r>
  <r>
    <d v="2026-01-04T00:00:00"/>
    <x v="0"/>
    <x v="0"/>
    <x v="1"/>
    <x v="1"/>
    <s v="a"/>
    <x v="0"/>
    <m/>
    <m/>
    <n v="20"/>
    <m/>
    <m/>
  </r>
  <r>
    <d v="2026-01-04T00:00:00"/>
    <x v="0"/>
    <x v="0"/>
    <x v="2"/>
    <x v="2"/>
    <s v="a"/>
    <x v="0"/>
    <n v="0"/>
    <m/>
    <n v="162"/>
    <m/>
    <m/>
  </r>
  <r>
    <d v="2026-01-04T00:00:00"/>
    <x v="0"/>
    <x v="0"/>
    <x v="3"/>
    <x v="3"/>
    <s v="a"/>
    <x v="0"/>
    <s v="Bank of America"/>
    <n v="1373"/>
    <n v="100"/>
    <d v="2026-01-06T00:00:00"/>
    <n v="454"/>
  </r>
  <r>
    <d v="2026-01-11T00:00:00"/>
    <x v="0"/>
    <x v="1"/>
    <x v="4"/>
    <x v="4"/>
    <s v="a"/>
    <x v="0"/>
    <n v="0"/>
    <m/>
    <n v="10"/>
    <m/>
    <m/>
  </r>
  <r>
    <d v="2026-01-11T00:00:00"/>
    <x v="0"/>
    <x v="1"/>
    <x v="2"/>
    <x v="2"/>
    <s v="a"/>
    <x v="0"/>
    <n v="0"/>
    <m/>
    <n v="43"/>
    <m/>
    <m/>
  </r>
  <r>
    <d v="2026-01-11T00:00:00"/>
    <x v="0"/>
    <x v="1"/>
    <x v="3"/>
    <x v="3"/>
    <s v="a"/>
    <x v="0"/>
    <s v="Bank of America"/>
    <n v="1347"/>
    <n v="100"/>
    <m/>
    <m/>
  </r>
  <r>
    <d v="2026-01-11T00:00:00"/>
    <x v="0"/>
    <x v="1"/>
    <x v="5"/>
    <x v="5"/>
    <s v="a"/>
    <x v="0"/>
    <s v="Bank of America"/>
    <n v="325"/>
    <n v="500"/>
    <m/>
    <m/>
  </r>
  <r>
    <d v="2026-01-11T00:00:00"/>
    <x v="0"/>
    <x v="1"/>
    <x v="6"/>
    <x v="6"/>
    <s v="a"/>
    <x v="0"/>
    <s v="Bank of America"/>
    <n v="1776"/>
    <n v="100"/>
    <m/>
    <m/>
  </r>
  <r>
    <d v="2026-01-11T00:00:00"/>
    <x v="0"/>
    <x v="1"/>
    <x v="7"/>
    <x v="7"/>
    <s v="a"/>
    <x v="0"/>
    <s v="Bank of America"/>
    <n v="5524"/>
    <n v="200"/>
    <d v="2026-01-14T00:00:00"/>
    <n v="953"/>
  </r>
  <r>
    <d v="2026-01-11T00:00:00"/>
    <x v="0"/>
    <x v="1"/>
    <x v="2"/>
    <x v="2"/>
    <s v="a"/>
    <x v="0"/>
    <s v="人民幣 ¥8"/>
    <m/>
    <n v="1.07"/>
    <d v="2026-01-14T00:00:00"/>
    <n v="1.07"/>
  </r>
  <r>
    <d v="2026-01-18T00:00:00"/>
    <x v="0"/>
    <x v="2"/>
    <x v="8"/>
    <x v="8"/>
    <s v="a"/>
    <x v="0"/>
    <n v="0"/>
    <m/>
    <n v="100"/>
    <m/>
    <m/>
  </r>
  <r>
    <d v="2026-01-18T00:00:00"/>
    <x v="0"/>
    <x v="2"/>
    <x v="9"/>
    <x v="9"/>
    <s v="a"/>
    <x v="0"/>
    <m/>
    <m/>
    <n v="50"/>
    <m/>
    <m/>
  </r>
  <r>
    <d v="2026-01-18T00:00:00"/>
    <x v="0"/>
    <x v="2"/>
    <x v="2"/>
    <x v="2"/>
    <s v="b"/>
    <x v="1"/>
    <s v="不願留名女士奉獻"/>
    <m/>
    <n v="2000"/>
    <m/>
    <m/>
  </r>
  <r>
    <d v="2026-01-18T00:00:00"/>
    <x v="0"/>
    <x v="2"/>
    <x v="0"/>
    <x v="0"/>
    <s v="a"/>
    <x v="0"/>
    <n v="0"/>
    <m/>
    <n v="100"/>
    <m/>
    <m/>
  </r>
  <r>
    <d v="2026-01-18T00:00:00"/>
    <x v="0"/>
    <x v="2"/>
    <x v="4"/>
    <x v="4"/>
    <s v="a"/>
    <x v="0"/>
    <n v="0"/>
    <m/>
    <n v="10"/>
    <m/>
    <m/>
  </r>
  <r>
    <d v="2026-01-18T00:00:00"/>
    <x v="0"/>
    <x v="2"/>
    <x v="2"/>
    <x v="2"/>
    <s v="a"/>
    <x v="0"/>
    <n v="0"/>
    <m/>
    <n v="9"/>
    <m/>
    <m/>
  </r>
  <r>
    <d v="2026-01-18T00:00:00"/>
    <x v="0"/>
    <x v="2"/>
    <x v="6"/>
    <x v="6"/>
    <s v="a"/>
    <x v="0"/>
    <s v="Bank of America"/>
    <n v="1777"/>
    <n v="200"/>
    <m/>
    <m/>
  </r>
  <r>
    <d v="2026-01-18T00:00:00"/>
    <x v="0"/>
    <x v="2"/>
    <x v="7"/>
    <x v="7"/>
    <s v="a"/>
    <x v="0"/>
    <s v="Bank of America"/>
    <n v="5525"/>
    <n v="200"/>
    <m/>
    <m/>
  </r>
  <r>
    <d v="2026-01-18T00:00:00"/>
    <x v="0"/>
    <x v="2"/>
    <x v="3"/>
    <x v="3"/>
    <s v="a"/>
    <x v="0"/>
    <s v="Bank of America"/>
    <n v="1348"/>
    <n v="100"/>
    <m/>
    <m/>
  </r>
  <r>
    <d v="2026-01-18T00:00:00"/>
    <x v="0"/>
    <x v="2"/>
    <x v="10"/>
    <x v="10"/>
    <s v="a"/>
    <x v="0"/>
    <s v="Bank of America"/>
    <n v="135"/>
    <n v="100"/>
    <d v="2026-01-21T00:00:00"/>
    <n v="2869"/>
  </r>
  <r>
    <d v="2026-01-25T00:00:00"/>
    <x v="0"/>
    <x v="3"/>
    <x v="4"/>
    <x v="4"/>
    <s v="a"/>
    <x v="0"/>
    <n v="0"/>
    <m/>
    <n v="10"/>
    <m/>
    <m/>
  </r>
  <r>
    <d v="2026-01-25T00:00:00"/>
    <x v="0"/>
    <x v="3"/>
    <x v="1"/>
    <x v="1"/>
    <s v="a"/>
    <x v="0"/>
    <m/>
    <m/>
    <n v="20"/>
    <m/>
    <m/>
  </r>
  <r>
    <d v="2026-01-25T00:00:00"/>
    <x v="0"/>
    <x v="3"/>
    <x v="2"/>
    <x v="2"/>
    <s v="a"/>
    <x v="0"/>
    <n v="0"/>
    <m/>
    <n v="323"/>
    <m/>
    <m/>
  </r>
  <r>
    <d v="2026-01-25T00:00:00"/>
    <x v="0"/>
    <x v="3"/>
    <x v="3"/>
    <x v="3"/>
    <s v="a"/>
    <x v="0"/>
    <s v="Chase"/>
    <n v="1349"/>
    <n v="100"/>
    <m/>
    <m/>
  </r>
  <r>
    <d v="2026-01-25T00:00:00"/>
    <x v="0"/>
    <x v="3"/>
    <x v="11"/>
    <x v="11"/>
    <s v="a"/>
    <x v="0"/>
    <s v="US Bank"/>
    <n v="9844"/>
    <n v="100"/>
    <m/>
    <m/>
  </r>
  <r>
    <d v="2026-01-25T00:00:00"/>
    <x v="0"/>
    <x v="3"/>
    <x v="5"/>
    <x v="5"/>
    <s v="a"/>
    <x v="0"/>
    <s v="Bank of America"/>
    <n v="154"/>
    <n v="100"/>
    <d v="2026-01-28T00:00:00"/>
    <n v="653"/>
  </r>
  <r>
    <d v="2026-02-01T00:00:00"/>
    <x v="1"/>
    <x v="4"/>
    <x v="1"/>
    <x v="1"/>
    <s v="a"/>
    <x v="0"/>
    <m/>
    <m/>
    <n v="20"/>
    <m/>
    <m/>
  </r>
  <r>
    <d v="2026-02-01T00:00:00"/>
    <x v="1"/>
    <x v="4"/>
    <x v="12"/>
    <x v="12"/>
    <s v="a"/>
    <x v="0"/>
    <m/>
    <m/>
    <n v="100"/>
    <m/>
    <m/>
  </r>
  <r>
    <d v="2026-02-01T00:00:00"/>
    <x v="1"/>
    <x v="4"/>
    <x v="2"/>
    <x v="2"/>
    <s v="a"/>
    <x v="0"/>
    <n v="0"/>
    <m/>
    <n v="32"/>
    <m/>
    <m/>
  </r>
  <r>
    <d v="2026-02-01T00:00:00"/>
    <x v="1"/>
    <x v="4"/>
    <x v="3"/>
    <x v="3"/>
    <s v="a"/>
    <x v="0"/>
    <s v="Bank of America"/>
    <n v="1350"/>
    <n v="100"/>
    <m/>
    <m/>
  </r>
  <r>
    <d v="2026-02-01T00:00:00"/>
    <x v="1"/>
    <x v="4"/>
    <x v="7"/>
    <x v="7"/>
    <s v="a"/>
    <x v="0"/>
    <s v="Bank of America"/>
    <n v="5526"/>
    <n v="200"/>
    <m/>
    <m/>
  </r>
  <r>
    <d v="2026-02-01T00:00:00"/>
    <x v="1"/>
    <x v="4"/>
    <x v="11"/>
    <x v="11"/>
    <s v="a"/>
    <x v="0"/>
    <s v="US Bank"/>
    <n v="9821"/>
    <n v="100"/>
    <m/>
    <m/>
  </r>
  <r>
    <d v="2026-02-01T00:00:00"/>
    <x v="1"/>
    <x v="4"/>
    <x v="5"/>
    <x v="5"/>
    <s v="a"/>
    <x v="0"/>
    <s v="Bank of America"/>
    <n v="455"/>
    <n v="500"/>
    <d v="2026-02-04T00:00:00"/>
    <n v="1052"/>
  </r>
  <r>
    <d v="2026-02-08T00:00:00"/>
    <x v="1"/>
    <x v="5"/>
    <x v="2"/>
    <x v="2"/>
    <s v="a"/>
    <x v="0"/>
    <n v="0"/>
    <m/>
    <n v="29"/>
    <m/>
    <m/>
  </r>
  <r>
    <d v="2026-02-08T00:00:00"/>
    <x v="1"/>
    <x v="5"/>
    <x v="6"/>
    <x v="6"/>
    <s v="a"/>
    <x v="0"/>
    <s v="Bank of America"/>
    <n v="1778"/>
    <n v="200"/>
    <m/>
    <m/>
  </r>
  <r>
    <d v="2026-02-08T00:00:00"/>
    <x v="1"/>
    <x v="5"/>
    <x v="3"/>
    <x v="3"/>
    <s v="a"/>
    <x v="0"/>
    <s v="Bank of America"/>
    <n v="1351"/>
    <n v="100"/>
    <m/>
    <m/>
  </r>
  <r>
    <d v="2026-02-08T00:00:00"/>
    <x v="1"/>
    <x v="5"/>
    <x v="7"/>
    <x v="7"/>
    <s v="a"/>
    <x v="0"/>
    <s v="Bank of America"/>
    <n v="5527"/>
    <n v="200"/>
    <m/>
    <m/>
  </r>
  <r>
    <d v="2026-02-08T00:00:00"/>
    <x v="1"/>
    <x v="5"/>
    <x v="10"/>
    <x v="10"/>
    <s v="a"/>
    <x v="0"/>
    <s v="Bank of America"/>
    <n v="136"/>
    <n v="100"/>
    <d v="2026-02-13T00:00:00"/>
    <n v="629"/>
  </r>
  <r>
    <d v="2026-02-15T00:00:00"/>
    <x v="1"/>
    <x v="6"/>
    <x v="13"/>
    <x v="13"/>
    <s v="a"/>
    <x v="0"/>
    <n v="0"/>
    <m/>
    <n v="100"/>
    <m/>
    <m/>
  </r>
  <r>
    <d v="2026-02-15T00:00:00"/>
    <x v="1"/>
    <x v="6"/>
    <x v="5"/>
    <x v="5"/>
    <s v="a"/>
    <x v="0"/>
    <m/>
    <m/>
    <n v="100"/>
    <m/>
    <m/>
  </r>
  <r>
    <d v="2026-02-15T00:00:00"/>
    <x v="1"/>
    <x v="6"/>
    <x v="1"/>
    <x v="1"/>
    <s v="a"/>
    <x v="0"/>
    <m/>
    <m/>
    <n v="20"/>
    <m/>
    <m/>
  </r>
  <r>
    <d v="2026-02-15T00:00:00"/>
    <x v="1"/>
    <x v="6"/>
    <x v="8"/>
    <x v="14"/>
    <s v="a"/>
    <x v="0"/>
    <n v="0"/>
    <m/>
    <n v="7.29"/>
    <m/>
    <m/>
  </r>
  <r>
    <d v="2026-02-15T00:00:00"/>
    <x v="1"/>
    <x v="6"/>
    <x v="2"/>
    <x v="2"/>
    <s v="a"/>
    <x v="0"/>
    <n v="0"/>
    <m/>
    <n v="311"/>
    <m/>
    <m/>
  </r>
  <r>
    <d v="2026-02-15T00:00:00"/>
    <x v="1"/>
    <x v="6"/>
    <x v="7"/>
    <x v="7"/>
    <s v="a"/>
    <x v="0"/>
    <s v="Bank of America"/>
    <n v="5528"/>
    <n v="200"/>
    <m/>
    <m/>
  </r>
  <r>
    <d v="2026-02-15T00:00:00"/>
    <x v="1"/>
    <x v="6"/>
    <x v="3"/>
    <x v="3"/>
    <s v="a"/>
    <x v="0"/>
    <s v="Bank of America"/>
    <n v="1352"/>
    <n v="100"/>
    <d v="2026-02-17T00:00:00"/>
    <n v="838.29"/>
  </r>
  <r>
    <d v="2026-02-22T00:00:00"/>
    <x v="1"/>
    <x v="7"/>
    <x v="5"/>
    <x v="5"/>
    <s v="a"/>
    <x v="0"/>
    <m/>
    <m/>
    <n v="100"/>
    <m/>
    <m/>
  </r>
  <r>
    <d v="2026-02-22T00:00:00"/>
    <x v="1"/>
    <x v="7"/>
    <x v="2"/>
    <x v="2"/>
    <s v="a"/>
    <x v="0"/>
    <n v="0"/>
    <m/>
    <n v="216"/>
    <m/>
    <m/>
  </r>
  <r>
    <d v="2026-02-22T00:00:00"/>
    <x v="1"/>
    <x v="7"/>
    <x v="6"/>
    <x v="6"/>
    <s v="a"/>
    <x v="0"/>
    <s v="Bank of America"/>
    <n v="1779"/>
    <n v="100"/>
    <m/>
    <m/>
  </r>
  <r>
    <d v="2026-02-22T00:00:00"/>
    <x v="1"/>
    <x v="7"/>
    <x v="3"/>
    <x v="3"/>
    <s v="a"/>
    <x v="0"/>
    <s v="Bank of America"/>
    <n v="1353"/>
    <n v="100"/>
    <d v="2026-02-25T00:00:00"/>
    <n v="516"/>
  </r>
  <r>
    <d v="2026-03-01T00:00:00"/>
    <x v="2"/>
    <x v="8"/>
    <x v="2"/>
    <x v="2"/>
    <s v="a"/>
    <x v="0"/>
    <n v="0"/>
    <m/>
    <n v="10"/>
    <m/>
    <m/>
  </r>
  <r>
    <d v="2026-03-01T00:00:00"/>
    <x v="2"/>
    <x v="8"/>
    <x v="7"/>
    <x v="7"/>
    <s v="a"/>
    <x v="0"/>
    <s v="Bank of America"/>
    <n v="5529"/>
    <n v="200"/>
    <m/>
    <m/>
  </r>
  <r>
    <d v="2026-03-01T00:00:00"/>
    <x v="2"/>
    <x v="8"/>
    <x v="5"/>
    <x v="5"/>
    <s v="a"/>
    <x v="0"/>
    <s v="Bank of America"/>
    <n v="454"/>
    <n v="500"/>
    <m/>
    <m/>
  </r>
  <r>
    <d v="2026-03-01T00:00:00"/>
    <x v="2"/>
    <x v="8"/>
    <x v="14"/>
    <x v="15"/>
    <s v="a"/>
    <x v="0"/>
    <s v="Bank of America"/>
    <n v="2620"/>
    <n v="100"/>
    <d v="2026-03-03T00:00:00"/>
    <n v="810"/>
  </r>
  <r>
    <d v="2026-03-08T00:00:00"/>
    <x v="2"/>
    <x v="9"/>
    <x v="1"/>
    <x v="1"/>
    <s v="a"/>
    <x v="0"/>
    <m/>
    <m/>
    <n v="20"/>
    <m/>
    <m/>
  </r>
  <r>
    <d v="2026-03-08T00:00:00"/>
    <x v="2"/>
    <x v="9"/>
    <x v="2"/>
    <x v="2"/>
    <s v="a"/>
    <x v="0"/>
    <n v="0"/>
    <m/>
    <n v="28"/>
    <m/>
    <m/>
  </r>
  <r>
    <d v="2026-03-08T00:00:00"/>
    <x v="2"/>
    <x v="9"/>
    <x v="11"/>
    <x v="11"/>
    <s v="a"/>
    <x v="0"/>
    <s v="US Bank"/>
    <n v="9822"/>
    <n v="200"/>
    <m/>
    <m/>
  </r>
  <r>
    <d v="2026-03-08T00:00:00"/>
    <x v="2"/>
    <x v="9"/>
    <x v="7"/>
    <x v="7"/>
    <s v="a"/>
    <x v="0"/>
    <s v="Bank of America"/>
    <n v="5530"/>
    <n v="200"/>
    <m/>
    <m/>
  </r>
  <r>
    <d v="2026-03-08T00:00:00"/>
    <x v="2"/>
    <x v="9"/>
    <x v="8"/>
    <x v="16"/>
    <s v="a"/>
    <x v="0"/>
    <s v="Wells Fargo"/>
    <n v="144"/>
    <n v="120"/>
    <m/>
    <m/>
  </r>
  <r>
    <d v="2026-03-08T00:00:00"/>
    <x v="2"/>
    <x v="9"/>
    <x v="3"/>
    <x v="3"/>
    <s v="a"/>
    <x v="0"/>
    <s v="Bank of America"/>
    <n v="1354"/>
    <n v="100"/>
    <m/>
    <m/>
  </r>
  <r>
    <d v="2026-03-08T00:00:00"/>
    <x v="2"/>
    <x v="9"/>
    <x v="3"/>
    <x v="3"/>
    <s v="a"/>
    <x v="0"/>
    <s v="Bank of America"/>
    <n v="1355"/>
    <n v="100"/>
    <d v="2026-03-11T00:00:00"/>
    <n v="768"/>
  </r>
  <r>
    <d v="2026-03-15T00:00:00"/>
    <x v="2"/>
    <x v="10"/>
    <x v="12"/>
    <x v="12"/>
    <s v="a"/>
    <x v="0"/>
    <m/>
    <m/>
    <n v="100"/>
    <m/>
    <m/>
  </r>
  <r>
    <d v="2026-03-15T00:00:00"/>
    <x v="2"/>
    <x v="10"/>
    <x v="13"/>
    <x v="13"/>
    <s v="a"/>
    <x v="0"/>
    <n v="0"/>
    <m/>
    <n v="100"/>
    <m/>
    <m/>
  </r>
  <r>
    <d v="2026-03-15T00:00:00"/>
    <x v="2"/>
    <x v="10"/>
    <x v="4"/>
    <x v="4"/>
    <s v="a"/>
    <x v="0"/>
    <n v="0"/>
    <m/>
    <n v="9"/>
    <m/>
    <m/>
  </r>
  <r>
    <d v="2026-03-15T00:00:00"/>
    <x v="2"/>
    <x v="10"/>
    <x v="15"/>
    <x v="17"/>
    <s v="a"/>
    <x v="0"/>
    <m/>
    <m/>
    <n v="500"/>
    <m/>
    <m/>
  </r>
  <r>
    <d v="2026-03-15T00:00:00"/>
    <x v="2"/>
    <x v="10"/>
    <x v="16"/>
    <x v="18"/>
    <s v="a"/>
    <x v="0"/>
    <m/>
    <m/>
    <n v="200"/>
    <m/>
    <m/>
  </r>
  <r>
    <d v="2026-03-15T00:00:00"/>
    <x v="2"/>
    <x v="10"/>
    <x v="5"/>
    <x v="5"/>
    <s v="a"/>
    <x v="0"/>
    <m/>
    <m/>
    <n v="300"/>
    <m/>
    <m/>
  </r>
  <r>
    <d v="2026-03-15T00:00:00"/>
    <x v="2"/>
    <x v="10"/>
    <x v="17"/>
    <x v="19"/>
    <s v="a"/>
    <x v="0"/>
    <n v="0"/>
    <m/>
    <n v="100"/>
    <m/>
    <m/>
  </r>
  <r>
    <d v="2026-03-16T00:00:00"/>
    <x v="2"/>
    <x v="10"/>
    <x v="1"/>
    <x v="1"/>
    <s v="a"/>
    <x v="0"/>
    <m/>
    <m/>
    <n v="20"/>
    <m/>
    <m/>
  </r>
  <r>
    <d v="2026-03-15T00:00:00"/>
    <x v="2"/>
    <x v="10"/>
    <x v="2"/>
    <x v="2"/>
    <s v="a"/>
    <x v="0"/>
    <n v="0"/>
    <m/>
    <n v="65"/>
    <m/>
    <m/>
  </r>
  <r>
    <d v="2026-03-15T00:00:00"/>
    <x v="2"/>
    <x v="10"/>
    <x v="18"/>
    <x v="20"/>
    <s v="a"/>
    <x v="0"/>
    <s v="Fidelity"/>
    <n v="16389092"/>
    <n v="1000"/>
    <m/>
    <m/>
  </r>
  <r>
    <d v="2026-03-15T00:00:00"/>
    <x v="2"/>
    <x v="10"/>
    <x v="19"/>
    <x v="21"/>
    <s v="a"/>
    <x v="0"/>
    <s v="Bank of America"/>
    <n v="3087"/>
    <n v="200"/>
    <m/>
    <m/>
  </r>
  <r>
    <d v="2026-03-15T00:00:00"/>
    <x v="2"/>
    <x v="10"/>
    <x v="6"/>
    <x v="6"/>
    <s v="a"/>
    <x v="0"/>
    <s v="Bank of America"/>
    <n v="1780"/>
    <n v="200"/>
    <m/>
    <m/>
  </r>
  <r>
    <d v="2026-03-15T00:00:00"/>
    <x v="2"/>
    <x v="10"/>
    <x v="7"/>
    <x v="7"/>
    <s v="a"/>
    <x v="0"/>
    <s v="Bank of America"/>
    <n v="5531"/>
    <n v="200"/>
    <d v="2026-03-17T00:00:00"/>
    <n v="2994"/>
  </r>
  <r>
    <d v="2026-03-22T00:00:00"/>
    <x v="2"/>
    <x v="11"/>
    <x v="13"/>
    <x v="13"/>
    <s v="a"/>
    <x v="0"/>
    <n v="0"/>
    <m/>
    <n v="100"/>
    <m/>
    <m/>
  </r>
  <r>
    <d v="2026-03-22T00:00:00"/>
    <x v="2"/>
    <x v="11"/>
    <x v="2"/>
    <x v="2"/>
    <s v="a"/>
    <x v="0"/>
    <n v="0"/>
    <m/>
    <n v="108"/>
    <m/>
    <m/>
  </r>
  <r>
    <d v="2026-03-22T00:00:00"/>
    <x v="2"/>
    <x v="11"/>
    <x v="19"/>
    <x v="21"/>
    <s v="a"/>
    <x v="0"/>
    <s v="Bank of America"/>
    <n v="3088"/>
    <n v="200"/>
    <m/>
    <m/>
  </r>
  <r>
    <d v="2026-03-22T00:00:00"/>
    <x v="2"/>
    <x v="11"/>
    <x v="7"/>
    <x v="7"/>
    <s v="a"/>
    <x v="0"/>
    <s v="Bank of America"/>
    <n v="5533"/>
    <n v="200"/>
    <d v="2026-03-27T00:00:00"/>
    <n v="608"/>
  </r>
  <r>
    <d v="2026-03-29T00:00:00"/>
    <x v="2"/>
    <x v="12"/>
    <x v="1"/>
    <x v="1"/>
    <s v="a"/>
    <x v="0"/>
    <m/>
    <m/>
    <n v="20"/>
    <m/>
    <m/>
  </r>
  <r>
    <d v="2026-03-29T00:00:00"/>
    <x v="2"/>
    <x v="12"/>
    <x v="15"/>
    <x v="17"/>
    <s v="a"/>
    <x v="0"/>
    <m/>
    <m/>
    <n v="100"/>
    <m/>
    <m/>
  </r>
  <r>
    <d v="2026-03-29T00:00:00"/>
    <x v="2"/>
    <x v="12"/>
    <x v="17"/>
    <x v="19"/>
    <s v="a"/>
    <x v="0"/>
    <n v="0"/>
    <m/>
    <n v="100"/>
    <m/>
    <m/>
  </r>
  <r>
    <d v="2026-03-29T00:00:00"/>
    <x v="2"/>
    <x v="12"/>
    <x v="2"/>
    <x v="2"/>
    <s v="a"/>
    <x v="0"/>
    <n v="0"/>
    <m/>
    <n v="29"/>
    <m/>
    <m/>
  </r>
  <r>
    <d v="2026-03-29T00:00:00"/>
    <x v="2"/>
    <x v="12"/>
    <x v="7"/>
    <x v="7"/>
    <s v="a"/>
    <x v="0"/>
    <s v="Bank of America"/>
    <n v="5532"/>
    <n v="200"/>
    <m/>
    <m/>
  </r>
  <r>
    <d v="2026-03-29T00:00:00"/>
    <x v="2"/>
    <x v="12"/>
    <x v="11"/>
    <x v="11"/>
    <s v="a"/>
    <x v="0"/>
    <s v="US Bank"/>
    <n v="9824"/>
    <n v="200"/>
    <m/>
    <m/>
  </r>
  <r>
    <d v="2026-03-29T00:00:00"/>
    <x v="2"/>
    <x v="12"/>
    <x v="6"/>
    <x v="6"/>
    <s v="a"/>
    <x v="0"/>
    <s v="Bank of America"/>
    <n v="1761"/>
    <n v="100"/>
    <m/>
    <m/>
  </r>
  <r>
    <d v="2026-03-29T00:00:00"/>
    <x v="2"/>
    <x v="12"/>
    <x v="20"/>
    <x v="22"/>
    <s v="a"/>
    <x v="0"/>
    <s v="Bank of America"/>
    <n v="2621"/>
    <n v="100"/>
    <d v="2026-03-31T00:00:00"/>
    <n v="849"/>
  </r>
  <r>
    <d v="2026-04-05T00:00:00"/>
    <x v="3"/>
    <x v="13"/>
    <x v="12"/>
    <x v="12"/>
    <s v="a"/>
    <x v="0"/>
    <s v="East West Bank"/>
    <m/>
    <n v="100"/>
    <m/>
    <m/>
  </r>
  <r>
    <d v="2026-04-05T00:00:00"/>
    <x v="3"/>
    <x v="13"/>
    <x v="13"/>
    <x v="13"/>
    <s v="a"/>
    <x v="0"/>
    <n v="0"/>
    <m/>
    <n v="100"/>
    <m/>
    <m/>
  </r>
  <r>
    <d v="2026-04-05T00:00:00"/>
    <x v="3"/>
    <x v="13"/>
    <x v="1"/>
    <x v="1"/>
    <s v="a"/>
    <x v="0"/>
    <s v="Wells Fargo"/>
    <m/>
    <n v="20"/>
    <m/>
    <m/>
  </r>
  <r>
    <d v="2026-04-05T00:00:00"/>
    <x v="3"/>
    <x v="13"/>
    <x v="2"/>
    <x v="2"/>
    <s v="a"/>
    <x v="0"/>
    <n v="0"/>
    <m/>
    <n v="70"/>
    <m/>
    <m/>
  </r>
  <r>
    <d v="2026-04-05T00:00:00"/>
    <x v="3"/>
    <x v="13"/>
    <x v="10"/>
    <x v="10"/>
    <s v="a"/>
    <x v="0"/>
    <s v="Bank of America"/>
    <n v="137"/>
    <n v="100"/>
    <m/>
    <m/>
  </r>
  <r>
    <d v="2026-04-05T00:00:00"/>
    <x v="3"/>
    <x v="13"/>
    <x v="7"/>
    <x v="7"/>
    <s v="a"/>
    <x v="0"/>
    <s v="Bank of America"/>
    <n v="5534"/>
    <n v="200"/>
    <m/>
    <m/>
  </r>
  <r>
    <d v="2026-04-05T00:00:00"/>
    <x v="3"/>
    <x v="13"/>
    <x v="11"/>
    <x v="11"/>
    <s v="a"/>
    <x v="0"/>
    <s v="US Bank"/>
    <n v="9848"/>
    <n v="200"/>
    <m/>
    <m/>
  </r>
  <r>
    <d v="2026-04-05T00:00:00"/>
    <x v="3"/>
    <x v="13"/>
    <x v="19"/>
    <x v="21"/>
    <s v="a"/>
    <x v="0"/>
    <s v="Bank of America"/>
    <n v="3089"/>
    <n v="200"/>
    <d v="2026-04-07T00:00:00"/>
    <n v="990"/>
  </r>
  <r>
    <d v="2026-04-12T00:00:00"/>
    <x v="3"/>
    <x v="14"/>
    <x v="13"/>
    <x v="13"/>
    <s v="a"/>
    <x v="0"/>
    <n v="0"/>
    <m/>
    <n v="100"/>
    <m/>
    <m/>
  </r>
  <r>
    <d v="2026-04-12T00:00:00"/>
    <x v="3"/>
    <x v="14"/>
    <x v="2"/>
    <x v="2"/>
    <s v="a"/>
    <x v="0"/>
    <n v="0"/>
    <m/>
    <n v="10"/>
    <m/>
    <m/>
  </r>
  <r>
    <d v="2026-04-12T00:00:00"/>
    <x v="3"/>
    <x v="14"/>
    <x v="6"/>
    <x v="6"/>
    <s v="a"/>
    <x v="0"/>
    <s v="Bank of America"/>
    <n v="1781"/>
    <n v="100"/>
    <m/>
    <m/>
  </r>
  <r>
    <d v="2026-04-12T00:00:00"/>
    <x v="3"/>
    <x v="14"/>
    <x v="19"/>
    <x v="21"/>
    <s v="a"/>
    <x v="0"/>
    <s v="Bank of America"/>
    <n v="3091"/>
    <n v="200"/>
    <m/>
    <m/>
  </r>
  <r>
    <d v="2026-04-12T00:00:00"/>
    <x v="3"/>
    <x v="14"/>
    <x v="21"/>
    <x v="23"/>
    <s v="a"/>
    <x v="0"/>
    <s v="Pacific"/>
    <n v="101"/>
    <n v="100"/>
    <m/>
    <m/>
  </r>
  <r>
    <d v="2026-04-12T00:00:00"/>
    <x v="3"/>
    <x v="14"/>
    <x v="20"/>
    <x v="22"/>
    <s v="a"/>
    <x v="0"/>
    <s v="Bank of America"/>
    <n v="2622"/>
    <n v="100"/>
    <m/>
    <m/>
  </r>
  <r>
    <d v="2026-04-12T00:00:00"/>
    <x v="3"/>
    <x v="14"/>
    <x v="5"/>
    <x v="5"/>
    <s v="a"/>
    <x v="0"/>
    <s v="East West Bank"/>
    <n v="455"/>
    <n v="500"/>
    <m/>
    <m/>
  </r>
  <r>
    <d v="2026-04-12T00:00:00"/>
    <x v="3"/>
    <x v="14"/>
    <x v="7"/>
    <x v="7"/>
    <s v="a"/>
    <x v="0"/>
    <s v="Bank of America"/>
    <n v="5535"/>
    <n v="200"/>
    <d v="2026-04-14T00:00:00"/>
    <n v="1310"/>
  </r>
  <r>
    <d v="2026-04-19T00:00:00"/>
    <x v="3"/>
    <x v="15"/>
    <x v="1"/>
    <x v="1"/>
    <s v="a"/>
    <x v="0"/>
    <m/>
    <m/>
    <n v="20"/>
    <m/>
    <m/>
  </r>
  <r>
    <d v="2026-04-19T00:00:00"/>
    <x v="3"/>
    <x v="15"/>
    <x v="2"/>
    <x v="2"/>
    <s v="a"/>
    <x v="0"/>
    <n v="0"/>
    <m/>
    <n v="28"/>
    <m/>
    <m/>
  </r>
  <r>
    <d v="2026-04-19T00:00:00"/>
    <x v="3"/>
    <x v="15"/>
    <x v="7"/>
    <x v="7"/>
    <s v="a"/>
    <x v="0"/>
    <s v="Bank of America"/>
    <n v="5537"/>
    <n v="200"/>
    <m/>
    <m/>
  </r>
  <r>
    <d v="2026-04-19T00:00:00"/>
    <x v="3"/>
    <x v="15"/>
    <x v="19"/>
    <x v="21"/>
    <s v="a"/>
    <x v="0"/>
    <s v="Bank of America"/>
    <n v="3092"/>
    <n v="200"/>
    <d v="2026-04-21T00:00:00"/>
    <n v="448"/>
  </r>
  <r>
    <d v="2026-04-26T00:00:00"/>
    <x v="3"/>
    <x v="16"/>
    <x v="1"/>
    <x v="1"/>
    <s v="a"/>
    <x v="0"/>
    <m/>
    <m/>
    <n v="20"/>
    <m/>
    <m/>
  </r>
  <r>
    <d v="2026-04-26T00:00:00"/>
    <x v="3"/>
    <x v="16"/>
    <x v="5"/>
    <x v="5"/>
    <s v="a"/>
    <x v="0"/>
    <m/>
    <m/>
    <n v="100"/>
    <m/>
    <m/>
  </r>
  <r>
    <d v="2026-04-26T00:00:00"/>
    <x v="3"/>
    <x v="16"/>
    <x v="2"/>
    <x v="2"/>
    <s v="a"/>
    <x v="0"/>
    <n v="0"/>
    <m/>
    <n v="55"/>
    <m/>
    <m/>
  </r>
  <r>
    <d v="2026-04-26T00:00:00"/>
    <x v="3"/>
    <x v="16"/>
    <x v="22"/>
    <x v="24"/>
    <s v="a"/>
    <x v="0"/>
    <s v="Fidelity"/>
    <n v="953650192"/>
    <n v="3000"/>
    <m/>
    <m/>
  </r>
  <r>
    <d v="2026-04-26T00:00:00"/>
    <x v="3"/>
    <x v="16"/>
    <x v="7"/>
    <x v="7"/>
    <s v="a"/>
    <x v="0"/>
    <s v="Bank of America"/>
    <n v="5538"/>
    <n v="200"/>
    <d v="2026-04-28T00:00:00"/>
    <n v="3375"/>
  </r>
  <r>
    <d v="2026-05-03T00:00:00"/>
    <x v="4"/>
    <x v="17"/>
    <x v="5"/>
    <x v="5"/>
    <s v="a"/>
    <x v="0"/>
    <m/>
    <m/>
    <n v="500"/>
    <m/>
    <m/>
  </r>
  <r>
    <d v="2026-05-03T00:00:00"/>
    <x v="4"/>
    <x v="17"/>
    <x v="12"/>
    <x v="12"/>
    <s v="a"/>
    <x v="0"/>
    <m/>
    <m/>
    <n v="100"/>
    <m/>
    <m/>
  </r>
  <r>
    <d v="2026-05-03T00:00:00"/>
    <x v="4"/>
    <x v="17"/>
    <x v="13"/>
    <x v="13"/>
    <s v="a"/>
    <x v="0"/>
    <n v="0"/>
    <m/>
    <n v="100"/>
    <m/>
    <m/>
  </r>
  <r>
    <d v="2026-05-03T00:00:00"/>
    <x v="4"/>
    <x v="17"/>
    <x v="2"/>
    <x v="2"/>
    <s v="a"/>
    <x v="0"/>
    <n v="0"/>
    <m/>
    <n v="10"/>
    <m/>
    <m/>
  </r>
  <r>
    <d v="2026-05-03T00:00:00"/>
    <x v="4"/>
    <x v="17"/>
    <x v="19"/>
    <x v="21"/>
    <s v="a"/>
    <x v="0"/>
    <s v="Bank of America"/>
    <n v="3093"/>
    <n v="200"/>
    <m/>
    <m/>
  </r>
  <r>
    <d v="2026-05-03T00:00:00"/>
    <x v="4"/>
    <x v="17"/>
    <x v="10"/>
    <x v="10"/>
    <s v="a"/>
    <x v="0"/>
    <s v="Bank of America"/>
    <n v="138"/>
    <n v="50"/>
    <m/>
    <m/>
  </r>
  <r>
    <d v="2026-05-03T00:00:00"/>
    <x v="4"/>
    <x v="17"/>
    <x v="7"/>
    <x v="7"/>
    <s v="a"/>
    <x v="0"/>
    <s v="Bank of America"/>
    <n v="5540"/>
    <n v="200"/>
    <d v="2026-05-11T00:00:00"/>
    <n v="1160"/>
  </r>
  <r>
    <d v="2026-05-10T00:00:00"/>
    <x v="4"/>
    <x v="18"/>
    <x v="9"/>
    <x v="9"/>
    <s v="a"/>
    <x v="0"/>
    <m/>
    <m/>
    <n v="100"/>
    <m/>
    <m/>
  </r>
  <r>
    <d v="2026-05-10T00:00:00"/>
    <x v="4"/>
    <x v="18"/>
    <x v="1"/>
    <x v="1"/>
    <s v="a"/>
    <x v="0"/>
    <m/>
    <m/>
    <n v="20"/>
    <m/>
    <m/>
  </r>
  <r>
    <d v="2026-05-10T00:00:00"/>
    <x v="4"/>
    <x v="18"/>
    <x v="2"/>
    <x v="2"/>
    <s v="a"/>
    <x v="0"/>
    <n v="0"/>
    <m/>
    <n v="123"/>
    <m/>
    <m/>
  </r>
  <r>
    <d v="2026-05-10T00:00:00"/>
    <x v="4"/>
    <x v="18"/>
    <x v="11"/>
    <x v="11"/>
    <s v="a"/>
    <x v="0"/>
    <s v="US Bank"/>
    <n v="9825"/>
    <n v="200"/>
    <m/>
    <m/>
  </r>
  <r>
    <d v="2026-05-10T00:00:00"/>
    <x v="4"/>
    <x v="18"/>
    <x v="3"/>
    <x v="3"/>
    <s v="a"/>
    <x v="0"/>
    <s v="Bank of America"/>
    <n v="1356"/>
    <n v="100"/>
    <m/>
    <m/>
  </r>
  <r>
    <d v="2026-05-10T00:00:00"/>
    <x v="4"/>
    <x v="18"/>
    <x v="6"/>
    <x v="6"/>
    <s v="a"/>
    <x v="0"/>
    <s v="Bank of America"/>
    <n v="1782"/>
    <n v="100"/>
    <m/>
    <m/>
  </r>
  <r>
    <d v="2026-05-10T00:00:00"/>
    <x v="4"/>
    <x v="18"/>
    <x v="7"/>
    <x v="7"/>
    <s v="a"/>
    <x v="0"/>
    <s v="Bank of America"/>
    <n v="5545"/>
    <n v="200"/>
    <d v="2026-05-14T00:00:00"/>
    <n v="843"/>
  </r>
  <r>
    <d v="2026-05-17T00:00:00"/>
    <x v="4"/>
    <x v="19"/>
    <x v="4"/>
    <x v="4"/>
    <s v="a"/>
    <x v="0"/>
    <n v="0"/>
    <m/>
    <n v="9"/>
    <m/>
    <m/>
  </r>
  <r>
    <d v="2026-05-17T00:00:00"/>
    <x v="4"/>
    <x v="19"/>
    <x v="1"/>
    <x v="1"/>
    <s v="a"/>
    <x v="0"/>
    <m/>
    <m/>
    <n v="20"/>
    <m/>
    <m/>
  </r>
  <r>
    <d v="2026-05-17T00:00:00"/>
    <x v="4"/>
    <x v="19"/>
    <x v="8"/>
    <x v="25"/>
    <s v="a"/>
    <x v="0"/>
    <n v="0"/>
    <m/>
    <n v="150"/>
    <m/>
    <m/>
  </r>
  <r>
    <d v="2026-05-17T00:00:00"/>
    <x v="4"/>
    <x v="19"/>
    <x v="2"/>
    <x v="2"/>
    <s v="a"/>
    <x v="0"/>
    <n v="0"/>
    <m/>
    <n v="112"/>
    <m/>
    <m/>
  </r>
  <r>
    <d v="2026-05-17T00:00:00"/>
    <x v="4"/>
    <x v="19"/>
    <x v="8"/>
    <x v="26"/>
    <s v="a"/>
    <x v="0"/>
    <s v="Wells Fargo"/>
    <n v="3129"/>
    <n v="1000"/>
    <m/>
    <m/>
  </r>
  <r>
    <d v="2026-05-17T00:00:00"/>
    <x v="4"/>
    <x v="19"/>
    <x v="5"/>
    <x v="5"/>
    <s v="a"/>
    <x v="0"/>
    <s v="East West Bank"/>
    <n v="457"/>
    <n v="200"/>
    <m/>
    <m/>
  </r>
  <r>
    <d v="2026-05-17T00:00:00"/>
    <x v="4"/>
    <x v="19"/>
    <x v="7"/>
    <x v="7"/>
    <s v="a"/>
    <x v="0"/>
    <s v="Bank of America"/>
    <n v="5547"/>
    <n v="200"/>
    <m/>
    <m/>
  </r>
  <r>
    <d v="2026-05-17T00:00:00"/>
    <x v="4"/>
    <x v="19"/>
    <x v="3"/>
    <x v="3"/>
    <s v="a"/>
    <x v="0"/>
    <s v="Bank of America"/>
    <n v="1357"/>
    <n v="100"/>
    <d v="2026-05-18T00:00:00"/>
    <n v="1791"/>
  </r>
  <r>
    <d v="2026-05-24T00:00:00"/>
    <x v="4"/>
    <x v="20"/>
    <x v="23"/>
    <x v="27"/>
    <s v="a"/>
    <x v="0"/>
    <m/>
    <m/>
    <n v="100"/>
    <m/>
    <m/>
  </r>
  <r>
    <d v="2026-05-24T00:00:00"/>
    <x v="4"/>
    <x v="20"/>
    <x v="13"/>
    <x v="13"/>
    <s v="a"/>
    <x v="0"/>
    <n v="0"/>
    <m/>
    <n v="100"/>
    <m/>
    <m/>
  </r>
  <r>
    <d v="2026-05-24T00:00:00"/>
    <x v="4"/>
    <x v="20"/>
    <x v="17"/>
    <x v="19"/>
    <s v="a"/>
    <x v="0"/>
    <n v="0"/>
    <m/>
    <n v="50"/>
    <m/>
    <m/>
  </r>
  <r>
    <d v="2026-05-24T00:00:00"/>
    <x v="4"/>
    <x v="20"/>
    <x v="2"/>
    <x v="2"/>
    <s v="a"/>
    <x v="0"/>
    <n v="0"/>
    <m/>
    <n v="12"/>
    <m/>
    <m/>
  </r>
  <r>
    <d v="2026-05-24T00:00:00"/>
    <x v="4"/>
    <x v="20"/>
    <x v="6"/>
    <x v="6"/>
    <s v="a"/>
    <x v="0"/>
    <s v="Bank of America"/>
    <n v="1783"/>
    <n v="100"/>
    <m/>
    <m/>
  </r>
  <r>
    <d v="2026-05-24T00:00:00"/>
    <x v="4"/>
    <x v="20"/>
    <x v="3"/>
    <x v="3"/>
    <s v="a"/>
    <x v="0"/>
    <s v="Bank of America"/>
    <n v="1358"/>
    <n v="100"/>
    <m/>
    <m/>
  </r>
  <r>
    <d v="2026-05-24T00:00:00"/>
    <x v="4"/>
    <x v="20"/>
    <x v="7"/>
    <x v="7"/>
    <s v="a"/>
    <x v="0"/>
    <s v="Bank of America"/>
    <n v="5546"/>
    <n v="200"/>
    <d v="2026-05-26T00:00:00"/>
    <n v="662"/>
  </r>
  <r>
    <d v="2026-05-31T00:00:00"/>
    <x v="4"/>
    <x v="21"/>
    <x v="2"/>
    <x v="2"/>
    <s v="a"/>
    <x v="0"/>
    <n v="0"/>
    <m/>
    <n v="44"/>
    <m/>
    <m/>
  </r>
  <r>
    <d v="2026-05-31T00:00:00"/>
    <x v="4"/>
    <x v="21"/>
    <x v="20"/>
    <x v="22"/>
    <s v="a"/>
    <x v="0"/>
    <s v="Bank of America"/>
    <n v="2623"/>
    <n v="100"/>
    <m/>
    <m/>
  </r>
  <r>
    <d v="2026-05-31T00:00:00"/>
    <x v="4"/>
    <x v="21"/>
    <x v="7"/>
    <x v="7"/>
    <s v="a"/>
    <x v="0"/>
    <s v="Bank of America"/>
    <n v="5548"/>
    <n v="200"/>
    <m/>
    <m/>
  </r>
  <r>
    <d v="2026-05-31T00:00:00"/>
    <x v="4"/>
    <x v="21"/>
    <x v="19"/>
    <x v="21"/>
    <s v="a"/>
    <x v="0"/>
    <s v="Bank of America"/>
    <n v="3095"/>
    <n v="200"/>
    <m/>
    <m/>
  </r>
  <r>
    <d v="2026-05-31T00:00:00"/>
    <x v="4"/>
    <x v="21"/>
    <x v="3"/>
    <x v="3"/>
    <s v="a"/>
    <x v="0"/>
    <s v="Bank of America"/>
    <n v="1359"/>
    <n v="200"/>
    <d v="2026-06-05T00:00:00"/>
    <n v="744"/>
  </r>
  <r>
    <d v="2026-06-07T00:00:00"/>
    <x v="5"/>
    <x v="22"/>
    <x v="17"/>
    <x v="19"/>
    <s v="a"/>
    <x v="0"/>
    <n v="0"/>
    <m/>
    <n v="200"/>
    <m/>
    <m/>
  </r>
  <r>
    <d v="2026-06-07T00:00:00"/>
    <x v="5"/>
    <x v="22"/>
    <x v="5"/>
    <x v="5"/>
    <s v="a"/>
    <x v="0"/>
    <m/>
    <m/>
    <n v="300"/>
    <m/>
    <m/>
  </r>
  <r>
    <d v="2026-06-07T00:00:00"/>
    <x v="5"/>
    <x v="22"/>
    <x v="13"/>
    <x v="13"/>
    <s v="a"/>
    <x v="0"/>
    <n v="0"/>
    <m/>
    <n v="100"/>
    <m/>
    <m/>
  </r>
  <r>
    <d v="2026-06-07T00:00:00"/>
    <x v="5"/>
    <x v="22"/>
    <x v="1"/>
    <x v="1"/>
    <s v="a"/>
    <x v="0"/>
    <m/>
    <m/>
    <n v="20"/>
    <m/>
    <m/>
  </r>
  <r>
    <d v="2026-06-07T00:00:00"/>
    <x v="5"/>
    <x v="22"/>
    <x v="2"/>
    <x v="2"/>
    <s v="a"/>
    <x v="0"/>
    <n v="0"/>
    <m/>
    <n v="22"/>
    <m/>
    <m/>
  </r>
  <r>
    <d v="2026-06-07T00:00:00"/>
    <x v="5"/>
    <x v="22"/>
    <x v="7"/>
    <x v="7"/>
    <s v="a"/>
    <x v="0"/>
    <s v="Bank of America"/>
    <n v="5549"/>
    <n v="200"/>
    <m/>
    <m/>
  </r>
  <r>
    <d v="2026-06-07T00:00:00"/>
    <x v="5"/>
    <x v="22"/>
    <x v="3"/>
    <x v="3"/>
    <s v="a"/>
    <x v="0"/>
    <s v="Bank of America"/>
    <n v="1360"/>
    <n v="100"/>
    <m/>
    <m/>
  </r>
  <r>
    <d v="2026-06-07T00:00:00"/>
    <x v="5"/>
    <x v="22"/>
    <x v="10"/>
    <x v="10"/>
    <s v="a"/>
    <x v="0"/>
    <s v="Bank of America"/>
    <n v="139"/>
    <n v="100"/>
    <d v="2026-06-10T00:00:00"/>
    <n v="1042"/>
  </r>
  <r>
    <d v="2026-06-14T00:00:00"/>
    <x v="5"/>
    <x v="23"/>
    <x v="15"/>
    <x v="17"/>
    <s v="a"/>
    <x v="0"/>
    <m/>
    <m/>
    <n v="200"/>
    <m/>
    <m/>
  </r>
  <r>
    <d v="2026-06-14T00:00:00"/>
    <x v="5"/>
    <x v="23"/>
    <x v="5"/>
    <x v="5"/>
    <s v="a"/>
    <x v="0"/>
    <m/>
    <m/>
    <n v="200"/>
    <m/>
    <m/>
  </r>
  <r>
    <d v="2026-06-14T00:00:00"/>
    <x v="5"/>
    <x v="23"/>
    <x v="1"/>
    <x v="1"/>
    <s v="a"/>
    <x v="0"/>
    <m/>
    <m/>
    <n v="20"/>
    <m/>
    <m/>
  </r>
  <r>
    <d v="2026-06-14T00:00:00"/>
    <x v="5"/>
    <x v="23"/>
    <x v="12"/>
    <x v="12"/>
    <s v="a"/>
    <x v="0"/>
    <s v="East West Bank"/>
    <m/>
    <n v="200"/>
    <m/>
    <m/>
  </r>
  <r>
    <d v="2026-06-14T00:00:00"/>
    <x v="5"/>
    <x v="23"/>
    <x v="2"/>
    <x v="2"/>
    <s v="a"/>
    <x v="0"/>
    <n v="0"/>
    <m/>
    <n v="23"/>
    <m/>
    <m/>
  </r>
  <r>
    <d v="2026-06-14T00:00:00"/>
    <x v="5"/>
    <x v="23"/>
    <x v="18"/>
    <x v="20"/>
    <s v="a"/>
    <x v="0"/>
    <s v="Fidelity"/>
    <n v="16585077"/>
    <n v="1000"/>
    <m/>
    <m/>
  </r>
  <r>
    <d v="2026-06-14T00:00:00"/>
    <x v="5"/>
    <x v="23"/>
    <x v="19"/>
    <x v="21"/>
    <s v="a"/>
    <x v="0"/>
    <s v="Bank of America"/>
    <n v="3096"/>
    <n v="200"/>
    <m/>
    <m/>
  </r>
  <r>
    <d v="2026-06-14T00:00:00"/>
    <x v="5"/>
    <x v="23"/>
    <x v="11"/>
    <x v="11"/>
    <s v="a"/>
    <x v="0"/>
    <s v="US Bank"/>
    <n v="9850"/>
    <n v="200"/>
    <m/>
    <m/>
  </r>
  <r>
    <d v="2026-06-14T00:00:00"/>
    <x v="5"/>
    <x v="23"/>
    <x v="7"/>
    <x v="7"/>
    <s v="a"/>
    <x v="0"/>
    <s v="Bank of America"/>
    <n v="5550"/>
    <n v="200"/>
    <m/>
    <m/>
  </r>
  <r>
    <d v="2026-06-14T00:00:00"/>
    <x v="5"/>
    <x v="23"/>
    <x v="23"/>
    <x v="27"/>
    <s v="a"/>
    <x v="0"/>
    <s v="Wells Fargo"/>
    <n v="354"/>
    <n v="500"/>
    <d v="2026-06-16T00:00:00"/>
    <n v="2743"/>
  </r>
  <r>
    <d v="2026-06-21T00:00:00"/>
    <x v="5"/>
    <x v="24"/>
    <x v="8"/>
    <x v="28"/>
    <s v="a"/>
    <x v="0"/>
    <m/>
    <m/>
    <n v="65"/>
    <m/>
    <m/>
  </r>
  <r>
    <d v="2026-06-21T00:00:00"/>
    <x v="5"/>
    <x v="24"/>
    <x v="5"/>
    <x v="5"/>
    <s v="a"/>
    <x v="0"/>
    <m/>
    <m/>
    <n v="200"/>
    <m/>
    <m/>
  </r>
  <r>
    <d v="2026-06-21T00:00:00"/>
    <x v="5"/>
    <x v="24"/>
    <x v="2"/>
    <x v="2"/>
    <s v="a"/>
    <x v="0"/>
    <n v="0"/>
    <m/>
    <n v="19.8"/>
    <m/>
    <m/>
  </r>
  <r>
    <d v="2026-06-21T00:00:00"/>
    <x v="5"/>
    <x v="24"/>
    <x v="3"/>
    <x v="3"/>
    <s v="a"/>
    <x v="0"/>
    <s v="Bank of America"/>
    <n v="1362"/>
    <n v="200"/>
    <m/>
    <m/>
  </r>
  <r>
    <d v="2026-06-21T00:00:00"/>
    <x v="5"/>
    <x v="24"/>
    <x v="6"/>
    <x v="6"/>
    <s v="a"/>
    <x v="0"/>
    <s v="Bank of America"/>
    <n v="1785"/>
    <n v="100"/>
    <m/>
    <m/>
  </r>
  <r>
    <d v="2026-06-21T00:00:00"/>
    <x v="5"/>
    <x v="24"/>
    <x v="16"/>
    <x v="18"/>
    <s v="a"/>
    <x v="0"/>
    <s v="First Tech"/>
    <n v="1512"/>
    <n v="100"/>
    <m/>
    <m/>
  </r>
  <r>
    <d v="2026-06-21T00:00:00"/>
    <x v="5"/>
    <x v="24"/>
    <x v="11"/>
    <x v="11"/>
    <s v="a"/>
    <x v="0"/>
    <s v="US Bank"/>
    <n v="9828"/>
    <n v="100"/>
    <m/>
    <m/>
  </r>
  <r>
    <d v="2026-06-21T00:00:00"/>
    <x v="5"/>
    <x v="24"/>
    <x v="6"/>
    <x v="6"/>
    <s v="a"/>
    <x v="0"/>
    <s v="Bank of America"/>
    <n v="1784"/>
    <n v="100"/>
    <d v="2026-06-22T00:00:00"/>
    <n v="884.8"/>
  </r>
  <r>
    <d v="2026-06-28T00:00:00"/>
    <x v="5"/>
    <x v="25"/>
    <x v="1"/>
    <x v="1"/>
    <s v="a"/>
    <x v="0"/>
    <m/>
    <m/>
    <n v="20"/>
    <m/>
    <m/>
  </r>
  <r>
    <d v="2026-06-28T00:00:00"/>
    <x v="5"/>
    <x v="25"/>
    <x v="15"/>
    <x v="17"/>
    <s v="a"/>
    <x v="0"/>
    <m/>
    <m/>
    <n v="100"/>
    <m/>
    <m/>
  </r>
  <r>
    <d v="2026-06-28T00:00:00"/>
    <x v="5"/>
    <x v="25"/>
    <x v="2"/>
    <x v="2"/>
    <s v="a"/>
    <x v="0"/>
    <n v="0"/>
    <m/>
    <n v="15"/>
    <m/>
    <m/>
  </r>
  <r>
    <d v="2026-06-28T00:00:00"/>
    <x v="5"/>
    <x v="25"/>
    <x v="24"/>
    <x v="29"/>
    <s v="a"/>
    <x v="0"/>
    <s v="Charles Schwab"/>
    <n v="175"/>
    <n v="1000"/>
    <m/>
    <m/>
  </r>
  <r>
    <d v="2026-06-28T00:00:00"/>
    <x v="5"/>
    <x v="25"/>
    <x v="19"/>
    <x v="21"/>
    <s v="a"/>
    <x v="0"/>
    <s v="Bank of America"/>
    <n v="3100"/>
    <n v="200"/>
    <m/>
    <m/>
  </r>
  <r>
    <d v="2026-06-28T00:00:00"/>
    <x v="5"/>
    <x v="25"/>
    <x v="11"/>
    <x v="11"/>
    <s v="a"/>
    <x v="0"/>
    <s v="US Bank"/>
    <n v="9829"/>
    <n v="100"/>
    <m/>
    <m/>
  </r>
  <r>
    <d v="2026-06-28T00:00:00"/>
    <x v="5"/>
    <x v="25"/>
    <x v="6"/>
    <x v="6"/>
    <s v="a"/>
    <x v="0"/>
    <s v="Bank of America"/>
    <n v="1786"/>
    <n v="100"/>
    <d v="2026-06-29T00:00:00"/>
    <n v="1535"/>
  </r>
  <r>
    <d v="2026-06-28T00:00:00"/>
    <x v="5"/>
    <x v="25"/>
    <x v="25"/>
    <x v="30"/>
    <s v="a"/>
    <x v="0"/>
    <e v="#N/A"/>
    <m/>
    <m/>
    <m/>
    <m/>
  </r>
  <r>
    <d v="2026-06-28T00:00:00"/>
    <x v="5"/>
    <x v="25"/>
    <x v="25"/>
    <x v="30"/>
    <s v="a"/>
    <x v="0"/>
    <e v="#N/A"/>
    <m/>
    <m/>
    <m/>
    <m/>
  </r>
  <r>
    <d v="2026-06-28T00:00:00"/>
    <x v="5"/>
    <x v="25"/>
    <x v="25"/>
    <x v="30"/>
    <s v="a"/>
    <x v="0"/>
    <e v="#N/A"/>
    <m/>
    <m/>
    <m/>
    <m/>
  </r>
  <r>
    <d v="2026-06-28T00:00:00"/>
    <x v="5"/>
    <x v="25"/>
    <x v="25"/>
    <x v="30"/>
    <s v="a"/>
    <x v="0"/>
    <e v="#N/A"/>
    <m/>
    <m/>
    <m/>
    <m/>
  </r>
  <r>
    <d v="2026-06-28T00:00:00"/>
    <x v="5"/>
    <x v="25"/>
    <x v="25"/>
    <x v="30"/>
    <s v="a"/>
    <x v="0"/>
    <e v="#N/A"/>
    <m/>
    <m/>
    <m/>
    <m/>
  </r>
  <r>
    <d v="2026-06-28T00:00:00"/>
    <x v="5"/>
    <x v="25"/>
    <x v="25"/>
    <x v="30"/>
    <s v="a"/>
    <x v="0"/>
    <e v="#N/A"/>
    <m/>
    <m/>
    <m/>
    <m/>
  </r>
  <r>
    <d v="2026-07-13T00:00:00"/>
    <x v="6"/>
    <x v="26"/>
    <x v="25"/>
    <x v="30"/>
    <s v="a"/>
    <x v="0"/>
    <e v="#N/A"/>
    <m/>
    <m/>
    <m/>
    <m/>
  </r>
  <r>
    <d v="2026-07-20T00:00:00"/>
    <x v="6"/>
    <x v="27"/>
    <x v="25"/>
    <x v="30"/>
    <s v="a"/>
    <x v="0"/>
    <e v="#N/A"/>
    <m/>
    <m/>
    <m/>
    <m/>
  </r>
  <r>
    <d v="2026-07-20T00:00:00"/>
    <x v="6"/>
    <x v="27"/>
    <x v="25"/>
    <x v="30"/>
    <s v="a"/>
    <x v="0"/>
    <e v="#N/A"/>
    <m/>
    <m/>
    <m/>
    <m/>
  </r>
  <r>
    <d v="2026-07-20T00:00:00"/>
    <x v="6"/>
    <x v="27"/>
    <x v="25"/>
    <x v="30"/>
    <s v="a"/>
    <x v="0"/>
    <e v="#N/A"/>
    <m/>
    <m/>
    <m/>
    <m/>
  </r>
  <r>
    <d v="2026-07-20T00:00:00"/>
    <x v="6"/>
    <x v="27"/>
    <x v="25"/>
    <x v="30"/>
    <s v="a"/>
    <x v="0"/>
    <e v="#N/A"/>
    <m/>
    <m/>
    <m/>
    <m/>
  </r>
  <r>
    <d v="2026-07-20T00:00:00"/>
    <x v="6"/>
    <x v="27"/>
    <x v="25"/>
    <x v="30"/>
    <s v="a"/>
    <x v="0"/>
    <e v="#N/A"/>
    <m/>
    <m/>
    <m/>
    <m/>
  </r>
  <r>
    <d v="2026-07-20T00:00:00"/>
    <x v="6"/>
    <x v="27"/>
    <x v="25"/>
    <x v="30"/>
    <s v="a"/>
    <x v="0"/>
    <e v="#N/A"/>
    <m/>
    <m/>
    <m/>
    <m/>
  </r>
  <r>
    <d v="2026-07-20T00:00:00"/>
    <x v="6"/>
    <x v="27"/>
    <x v="25"/>
    <x v="30"/>
    <s v="a"/>
    <x v="0"/>
    <e v="#N/A"/>
    <m/>
    <m/>
    <m/>
    <m/>
  </r>
  <r>
    <d v="2026-07-27T00:00:00"/>
    <x v="6"/>
    <x v="28"/>
    <x v="25"/>
    <x v="30"/>
    <s v="a"/>
    <x v="0"/>
    <e v="#N/A"/>
    <m/>
    <m/>
    <m/>
    <m/>
  </r>
  <r>
    <d v="2026-07-27T00:00:00"/>
    <x v="6"/>
    <x v="28"/>
    <x v="25"/>
    <x v="30"/>
    <s v="a"/>
    <x v="0"/>
    <e v="#N/A"/>
    <m/>
    <m/>
    <m/>
    <m/>
  </r>
  <r>
    <d v="2026-07-27T00:00:00"/>
    <x v="6"/>
    <x v="28"/>
    <x v="25"/>
    <x v="30"/>
    <s v="a"/>
    <x v="0"/>
    <e v="#N/A"/>
    <m/>
    <m/>
    <m/>
    <m/>
  </r>
  <r>
    <d v="2026-07-27T00:00:00"/>
    <x v="6"/>
    <x v="28"/>
    <x v="25"/>
    <x v="30"/>
    <s v="a"/>
    <x v="0"/>
    <e v="#N/A"/>
    <m/>
    <m/>
    <m/>
    <m/>
  </r>
  <r>
    <d v="2026-07-27T00:00:00"/>
    <x v="6"/>
    <x v="28"/>
    <x v="25"/>
    <x v="30"/>
    <s v="a"/>
    <x v="0"/>
    <e v="#N/A"/>
    <m/>
    <m/>
    <m/>
    <m/>
  </r>
  <r>
    <d v="2026-08-03T00:00:00"/>
    <x v="7"/>
    <x v="29"/>
    <x v="25"/>
    <x v="30"/>
    <s v="a"/>
    <x v="0"/>
    <e v="#N/A"/>
    <m/>
    <m/>
    <m/>
    <m/>
  </r>
  <r>
    <d v="2026-08-03T00:00:00"/>
    <x v="7"/>
    <x v="29"/>
    <x v="25"/>
    <x v="30"/>
    <s v="a"/>
    <x v="0"/>
    <e v="#N/A"/>
    <m/>
    <m/>
    <m/>
    <m/>
  </r>
  <r>
    <d v="2026-08-03T00:00:00"/>
    <x v="7"/>
    <x v="29"/>
    <x v="25"/>
    <x v="30"/>
    <s v="a"/>
    <x v="0"/>
    <e v="#N/A"/>
    <m/>
    <m/>
    <m/>
    <m/>
  </r>
  <r>
    <d v="2026-08-03T00:00:00"/>
    <x v="7"/>
    <x v="29"/>
    <x v="25"/>
    <x v="30"/>
    <s v="a"/>
    <x v="0"/>
    <e v="#N/A"/>
    <m/>
    <m/>
    <m/>
    <m/>
  </r>
  <r>
    <d v="2026-08-03T00:00:00"/>
    <x v="7"/>
    <x v="29"/>
    <x v="25"/>
    <x v="30"/>
    <s v="a"/>
    <x v="0"/>
    <e v="#N/A"/>
    <m/>
    <m/>
    <m/>
    <m/>
  </r>
  <r>
    <d v="2026-08-03T00:00:00"/>
    <x v="7"/>
    <x v="29"/>
    <x v="25"/>
    <x v="30"/>
    <s v="a"/>
    <x v="0"/>
    <e v="#N/A"/>
    <m/>
    <m/>
    <m/>
    <m/>
  </r>
  <r>
    <d v="2026-08-03T00:00:00"/>
    <x v="7"/>
    <x v="29"/>
    <x v="25"/>
    <x v="30"/>
    <s v="a"/>
    <x v="0"/>
    <e v="#N/A"/>
    <m/>
    <m/>
    <m/>
    <m/>
  </r>
  <r>
    <d v="2026-08-03T00:00:00"/>
    <x v="7"/>
    <x v="29"/>
    <x v="25"/>
    <x v="30"/>
    <s v="a"/>
    <x v="0"/>
    <e v="#N/A"/>
    <m/>
    <m/>
    <m/>
    <m/>
  </r>
  <r>
    <d v="2026-08-03T00:00:00"/>
    <x v="7"/>
    <x v="29"/>
    <x v="25"/>
    <x v="30"/>
    <s v="a"/>
    <x v="0"/>
    <e v="#N/A"/>
    <m/>
    <m/>
    <m/>
    <m/>
  </r>
  <r>
    <d v="2026-08-03T00:00:00"/>
    <x v="7"/>
    <x v="29"/>
    <x v="25"/>
    <x v="30"/>
    <s v="a"/>
    <x v="0"/>
    <e v="#N/A"/>
    <m/>
    <m/>
    <m/>
    <m/>
  </r>
  <r>
    <d v="2026-08-10T00:00:00"/>
    <x v="7"/>
    <x v="30"/>
    <x v="25"/>
    <x v="30"/>
    <s v="a"/>
    <x v="0"/>
    <e v="#N/A"/>
    <m/>
    <m/>
    <m/>
    <m/>
  </r>
  <r>
    <d v="2026-08-10T00:00:00"/>
    <x v="7"/>
    <x v="30"/>
    <x v="25"/>
    <x v="30"/>
    <s v="a"/>
    <x v="0"/>
    <e v="#N/A"/>
    <m/>
    <m/>
    <m/>
    <m/>
  </r>
  <r>
    <d v="2026-08-10T00:00:00"/>
    <x v="7"/>
    <x v="30"/>
    <x v="25"/>
    <x v="30"/>
    <s v="a"/>
    <x v="0"/>
    <e v="#N/A"/>
    <m/>
    <m/>
    <m/>
    <m/>
  </r>
  <r>
    <d v="2026-08-17T00:00:00"/>
    <x v="7"/>
    <x v="31"/>
    <x v="25"/>
    <x v="30"/>
    <s v="a"/>
    <x v="0"/>
    <e v="#N/A"/>
    <m/>
    <m/>
    <m/>
    <m/>
  </r>
  <r>
    <d v="2026-08-17T00:00:00"/>
    <x v="7"/>
    <x v="31"/>
    <x v="25"/>
    <x v="30"/>
    <s v="a"/>
    <x v="0"/>
    <e v="#N/A"/>
    <m/>
    <m/>
    <m/>
    <m/>
  </r>
  <r>
    <d v="2026-08-17T00:00:00"/>
    <x v="7"/>
    <x v="31"/>
    <x v="25"/>
    <x v="30"/>
    <s v="a"/>
    <x v="0"/>
    <e v="#N/A"/>
    <m/>
    <m/>
    <m/>
    <m/>
  </r>
  <r>
    <d v="2026-08-17T00:00:00"/>
    <x v="7"/>
    <x v="31"/>
    <x v="25"/>
    <x v="30"/>
    <s v="a"/>
    <x v="0"/>
    <e v="#N/A"/>
    <m/>
    <m/>
    <m/>
    <m/>
  </r>
  <r>
    <d v="2026-08-17T00:00:00"/>
    <x v="7"/>
    <x v="31"/>
    <x v="25"/>
    <x v="30"/>
    <s v="a"/>
    <x v="0"/>
    <e v="#N/A"/>
    <m/>
    <m/>
    <m/>
    <m/>
  </r>
  <r>
    <d v="2026-08-17T00:00:00"/>
    <x v="7"/>
    <x v="31"/>
    <x v="25"/>
    <x v="30"/>
    <s v="a"/>
    <x v="0"/>
    <e v="#N/A"/>
    <m/>
    <m/>
    <m/>
    <m/>
  </r>
  <r>
    <d v="2026-08-24T00:00:00"/>
    <x v="7"/>
    <x v="32"/>
    <x v="25"/>
    <x v="30"/>
    <s v="a"/>
    <x v="0"/>
    <e v="#N/A"/>
    <m/>
    <m/>
    <m/>
    <m/>
  </r>
  <r>
    <d v="2026-08-24T00:00:00"/>
    <x v="7"/>
    <x v="32"/>
    <x v="25"/>
    <x v="30"/>
    <s v="a"/>
    <x v="0"/>
    <e v="#N/A"/>
    <m/>
    <m/>
    <m/>
    <m/>
  </r>
  <r>
    <d v="2026-08-24T00:00:00"/>
    <x v="7"/>
    <x v="32"/>
    <x v="25"/>
    <x v="30"/>
    <s v="a"/>
    <x v="0"/>
    <e v="#N/A"/>
    <m/>
    <m/>
    <m/>
    <m/>
  </r>
  <r>
    <d v="2026-08-24T00:00:00"/>
    <x v="7"/>
    <x v="32"/>
    <x v="25"/>
    <x v="30"/>
    <s v="a"/>
    <x v="0"/>
    <e v="#N/A"/>
    <m/>
    <m/>
    <m/>
    <m/>
  </r>
  <r>
    <d v="2026-08-24T00:00:00"/>
    <x v="7"/>
    <x v="32"/>
    <x v="25"/>
    <x v="30"/>
    <s v="a"/>
    <x v="0"/>
    <e v="#N/A"/>
    <m/>
    <m/>
    <m/>
    <m/>
  </r>
  <r>
    <d v="2026-08-24T00:00:00"/>
    <x v="7"/>
    <x v="32"/>
    <x v="25"/>
    <x v="30"/>
    <s v="a"/>
    <x v="0"/>
    <e v="#N/A"/>
    <m/>
    <m/>
    <m/>
    <m/>
  </r>
  <r>
    <d v="2026-08-31T00:00:00"/>
    <x v="7"/>
    <x v="33"/>
    <x v="25"/>
    <x v="30"/>
    <s v="a"/>
    <x v="0"/>
    <e v="#N/A"/>
    <m/>
    <m/>
    <m/>
    <m/>
  </r>
  <r>
    <d v="2026-08-31T00:00:00"/>
    <x v="7"/>
    <x v="33"/>
    <x v="25"/>
    <x v="30"/>
    <s v="a"/>
    <x v="0"/>
    <e v="#N/A"/>
    <m/>
    <m/>
    <m/>
    <m/>
  </r>
  <r>
    <d v="2026-08-31T00:00:00"/>
    <x v="7"/>
    <x v="33"/>
    <x v="25"/>
    <x v="30"/>
    <s v="a"/>
    <x v="0"/>
    <e v="#N/A"/>
    <m/>
    <m/>
    <m/>
    <m/>
  </r>
  <r>
    <d v="2026-08-31T00:00:00"/>
    <x v="7"/>
    <x v="33"/>
    <x v="25"/>
    <x v="30"/>
    <s v="a"/>
    <x v="0"/>
    <e v="#N/A"/>
    <m/>
    <m/>
    <m/>
    <m/>
  </r>
  <r>
    <d v="2026-08-31T00:00:00"/>
    <x v="7"/>
    <x v="33"/>
    <x v="25"/>
    <x v="30"/>
    <s v="a"/>
    <x v="0"/>
    <e v="#N/A"/>
    <m/>
    <m/>
    <m/>
    <m/>
  </r>
  <r>
    <d v="2026-08-31T00:00:00"/>
    <x v="7"/>
    <x v="33"/>
    <x v="25"/>
    <x v="30"/>
    <s v="a"/>
    <x v="0"/>
    <e v="#N/A"/>
    <m/>
    <m/>
    <m/>
    <m/>
  </r>
  <r>
    <d v="2026-09-07T00:00:00"/>
    <x v="8"/>
    <x v="34"/>
    <x v="25"/>
    <x v="30"/>
    <s v="a"/>
    <x v="0"/>
    <e v="#N/A"/>
    <m/>
    <m/>
    <m/>
    <m/>
  </r>
  <r>
    <d v="2026-09-07T00:00:00"/>
    <x v="8"/>
    <x v="34"/>
    <x v="25"/>
    <x v="30"/>
    <s v="a"/>
    <x v="0"/>
    <e v="#N/A"/>
    <m/>
    <m/>
    <m/>
    <m/>
  </r>
  <r>
    <d v="2026-09-07T00:00:00"/>
    <x v="8"/>
    <x v="34"/>
    <x v="25"/>
    <x v="30"/>
    <s v="a"/>
    <x v="0"/>
    <e v="#N/A"/>
    <m/>
    <m/>
    <m/>
    <m/>
  </r>
  <r>
    <d v="2026-09-07T00:00:00"/>
    <x v="8"/>
    <x v="34"/>
    <x v="25"/>
    <x v="30"/>
    <s v="a"/>
    <x v="0"/>
    <e v="#N/A"/>
    <m/>
    <m/>
    <m/>
    <m/>
  </r>
  <r>
    <d v="2026-09-07T00:00:00"/>
    <x v="8"/>
    <x v="34"/>
    <x v="25"/>
    <x v="30"/>
    <s v="a"/>
    <x v="0"/>
    <e v="#N/A"/>
    <m/>
    <m/>
    <m/>
    <m/>
  </r>
  <r>
    <d v="2026-09-07T00:00:00"/>
    <x v="8"/>
    <x v="34"/>
    <x v="25"/>
    <x v="30"/>
    <s v="a"/>
    <x v="0"/>
    <e v="#N/A"/>
    <m/>
    <m/>
    <m/>
    <m/>
  </r>
  <r>
    <d v="2026-09-07T00:00:00"/>
    <x v="8"/>
    <x v="34"/>
    <x v="25"/>
    <x v="30"/>
    <s v="a"/>
    <x v="0"/>
    <e v="#N/A"/>
    <m/>
    <m/>
    <m/>
    <m/>
  </r>
  <r>
    <d v="2026-09-07T00:00:00"/>
    <x v="8"/>
    <x v="34"/>
    <x v="25"/>
    <x v="30"/>
    <s v="a"/>
    <x v="0"/>
    <e v="#N/A"/>
    <m/>
    <m/>
    <m/>
    <m/>
  </r>
  <r>
    <d v="2026-09-14T00:00:00"/>
    <x v="8"/>
    <x v="35"/>
    <x v="25"/>
    <x v="30"/>
    <s v="a"/>
    <x v="0"/>
    <e v="#N/A"/>
    <m/>
    <m/>
    <m/>
    <m/>
  </r>
  <r>
    <d v="2026-09-14T00:00:00"/>
    <x v="8"/>
    <x v="35"/>
    <x v="25"/>
    <x v="30"/>
    <s v="a"/>
    <x v="0"/>
    <e v="#N/A"/>
    <m/>
    <m/>
    <m/>
    <m/>
  </r>
  <r>
    <d v="2026-09-14T00:00:00"/>
    <x v="8"/>
    <x v="35"/>
    <x v="25"/>
    <x v="30"/>
    <s v="a"/>
    <x v="0"/>
    <e v="#N/A"/>
    <m/>
    <m/>
    <m/>
    <m/>
  </r>
  <r>
    <d v="2026-09-14T00:00:00"/>
    <x v="8"/>
    <x v="35"/>
    <x v="25"/>
    <x v="30"/>
    <s v="a"/>
    <x v="0"/>
    <e v="#N/A"/>
    <m/>
    <m/>
    <m/>
    <m/>
  </r>
  <r>
    <d v="2026-09-14T00:00:00"/>
    <x v="8"/>
    <x v="35"/>
    <x v="25"/>
    <x v="30"/>
    <s v="a"/>
    <x v="0"/>
    <e v="#N/A"/>
    <m/>
    <m/>
    <m/>
    <m/>
  </r>
  <r>
    <d v="2026-09-14T00:00:00"/>
    <x v="8"/>
    <x v="35"/>
    <x v="25"/>
    <x v="30"/>
    <s v="a"/>
    <x v="0"/>
    <e v="#N/A"/>
    <m/>
    <m/>
    <m/>
    <m/>
  </r>
  <r>
    <d v="2026-09-21T00:00:00"/>
    <x v="8"/>
    <x v="36"/>
    <x v="25"/>
    <x v="30"/>
    <s v="a"/>
    <x v="0"/>
    <e v="#N/A"/>
    <m/>
    <m/>
    <m/>
    <m/>
  </r>
  <r>
    <d v="2026-09-21T00:00:00"/>
    <x v="8"/>
    <x v="36"/>
    <x v="25"/>
    <x v="30"/>
    <s v="a"/>
    <x v="0"/>
    <e v="#N/A"/>
    <m/>
    <m/>
    <m/>
    <m/>
  </r>
  <r>
    <d v="2026-09-21T00:00:00"/>
    <x v="8"/>
    <x v="36"/>
    <x v="25"/>
    <x v="30"/>
    <s v="a"/>
    <x v="0"/>
    <e v="#N/A"/>
    <m/>
    <m/>
    <m/>
    <m/>
  </r>
  <r>
    <d v="2026-09-21T00:00:00"/>
    <x v="8"/>
    <x v="36"/>
    <x v="25"/>
    <x v="30"/>
    <s v="a"/>
    <x v="0"/>
    <e v="#N/A"/>
    <m/>
    <m/>
    <m/>
    <m/>
  </r>
  <r>
    <d v="2026-09-21T00:00:00"/>
    <x v="8"/>
    <x v="36"/>
    <x v="25"/>
    <x v="30"/>
    <s v="a"/>
    <x v="0"/>
    <e v="#N/A"/>
    <m/>
    <m/>
    <m/>
    <m/>
  </r>
  <r>
    <d v="2026-09-21T00:00:00"/>
    <x v="8"/>
    <x v="36"/>
    <x v="25"/>
    <x v="30"/>
    <s v="a"/>
    <x v="0"/>
    <e v="#N/A"/>
    <m/>
    <m/>
    <m/>
    <m/>
  </r>
  <r>
    <d v="2026-09-21T00:00:00"/>
    <x v="8"/>
    <x v="36"/>
    <x v="25"/>
    <x v="30"/>
    <s v="a"/>
    <x v="0"/>
    <e v="#N/A"/>
    <m/>
    <m/>
    <m/>
    <m/>
  </r>
  <r>
    <d v="2026-09-28T00:00:00"/>
    <x v="8"/>
    <x v="37"/>
    <x v="25"/>
    <x v="30"/>
    <s v="a"/>
    <x v="0"/>
    <e v="#N/A"/>
    <m/>
    <m/>
    <m/>
    <m/>
  </r>
  <r>
    <d v="2026-09-28T00:00:00"/>
    <x v="8"/>
    <x v="37"/>
    <x v="25"/>
    <x v="30"/>
    <s v="a"/>
    <x v="0"/>
    <e v="#N/A"/>
    <m/>
    <m/>
    <m/>
    <m/>
  </r>
  <r>
    <d v="2026-09-28T00:00:00"/>
    <x v="8"/>
    <x v="37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12T00:00:00"/>
    <x v="9"/>
    <x v="39"/>
    <x v="25"/>
    <x v="30"/>
    <s v="a"/>
    <x v="0"/>
    <e v="#N/A"/>
    <m/>
    <m/>
    <m/>
    <m/>
  </r>
  <r>
    <d v="2026-10-12T00:00:00"/>
    <x v="9"/>
    <x v="39"/>
    <x v="25"/>
    <x v="30"/>
    <s v="a"/>
    <x v="0"/>
    <e v="#N/A"/>
    <m/>
    <m/>
    <m/>
    <m/>
  </r>
  <r>
    <d v="2026-10-12T00:00:00"/>
    <x v="9"/>
    <x v="39"/>
    <x v="25"/>
    <x v="30"/>
    <s v="a"/>
    <x v="0"/>
    <e v="#N/A"/>
    <m/>
    <m/>
    <m/>
    <m/>
  </r>
  <r>
    <d v="2026-10-12T00:00:00"/>
    <x v="9"/>
    <x v="39"/>
    <x v="25"/>
    <x v="30"/>
    <s v="a"/>
    <x v="0"/>
    <e v="#N/A"/>
    <m/>
    <m/>
    <m/>
    <m/>
  </r>
  <r>
    <d v="2026-10-12T00:00:00"/>
    <x v="9"/>
    <x v="39"/>
    <x v="25"/>
    <x v="30"/>
    <s v="a"/>
    <x v="0"/>
    <e v="#N/A"/>
    <m/>
    <m/>
    <m/>
    <m/>
  </r>
  <r>
    <d v="2026-10-12T00:00:00"/>
    <x v="9"/>
    <x v="39"/>
    <x v="25"/>
    <x v="30"/>
    <s v="a"/>
    <x v="0"/>
    <e v="#N/A"/>
    <m/>
    <m/>
    <m/>
    <m/>
  </r>
  <r>
    <d v="2026-10-12T00:00:00"/>
    <x v="9"/>
    <x v="39"/>
    <x v="25"/>
    <x v="30"/>
    <s v="a"/>
    <x v="0"/>
    <e v="#N/A"/>
    <m/>
    <m/>
    <m/>
    <m/>
  </r>
  <r>
    <d v="2026-10-19T00:00:00"/>
    <x v="9"/>
    <x v="40"/>
    <x v="25"/>
    <x v="30"/>
    <s v="a"/>
    <x v="0"/>
    <e v="#N/A"/>
    <m/>
    <m/>
    <m/>
    <m/>
  </r>
  <r>
    <d v="2026-10-19T00:00:00"/>
    <x v="9"/>
    <x v="40"/>
    <x v="25"/>
    <x v="30"/>
    <s v="a"/>
    <x v="0"/>
    <e v="#N/A"/>
    <m/>
    <m/>
    <m/>
    <m/>
  </r>
  <r>
    <d v="2026-10-19T00:00:00"/>
    <x v="9"/>
    <x v="40"/>
    <x v="25"/>
    <x v="30"/>
    <s v="a"/>
    <x v="0"/>
    <e v="#N/A"/>
    <m/>
    <m/>
    <m/>
    <m/>
  </r>
  <r>
    <d v="2026-10-19T00:00:00"/>
    <x v="9"/>
    <x v="40"/>
    <x v="25"/>
    <x v="30"/>
    <s v="a"/>
    <x v="0"/>
    <e v="#N/A"/>
    <m/>
    <m/>
    <m/>
    <m/>
  </r>
  <r>
    <d v="2026-10-19T00:00:00"/>
    <x v="9"/>
    <x v="40"/>
    <x v="25"/>
    <x v="30"/>
    <s v="a"/>
    <x v="0"/>
    <e v="#N/A"/>
    <m/>
    <m/>
    <m/>
    <m/>
  </r>
  <r>
    <d v="2026-10-19T00:00:00"/>
    <x v="9"/>
    <x v="40"/>
    <x v="25"/>
    <x v="30"/>
    <s v="a"/>
    <x v="0"/>
    <e v="#N/A"/>
    <m/>
    <m/>
    <m/>
    <m/>
  </r>
  <r>
    <d v="2026-10-26T00:00:00"/>
    <x v="9"/>
    <x v="41"/>
    <x v="25"/>
    <x v="30"/>
    <s v="a"/>
    <x v="0"/>
    <e v="#N/A"/>
    <m/>
    <m/>
    <m/>
    <m/>
  </r>
  <r>
    <d v="2026-10-26T00:00:00"/>
    <x v="9"/>
    <x v="41"/>
    <x v="25"/>
    <x v="30"/>
    <s v="a"/>
    <x v="0"/>
    <e v="#N/A"/>
    <m/>
    <m/>
    <m/>
    <m/>
  </r>
  <r>
    <d v="2026-10-26T00:00:00"/>
    <x v="9"/>
    <x v="41"/>
    <x v="25"/>
    <x v="30"/>
    <s v="a"/>
    <x v="0"/>
    <e v="#N/A"/>
    <m/>
    <m/>
    <m/>
    <m/>
  </r>
  <r>
    <d v="2026-10-26T00:00:00"/>
    <x v="9"/>
    <x v="41"/>
    <x v="25"/>
    <x v="30"/>
    <s v="a"/>
    <x v="0"/>
    <e v="#N/A"/>
    <m/>
    <m/>
    <m/>
    <m/>
  </r>
  <r>
    <d v="2026-11-02T00:00:00"/>
    <x v="10"/>
    <x v="42"/>
    <x v="25"/>
    <x v="30"/>
    <s v="a"/>
    <x v="0"/>
    <e v="#N/A"/>
    <m/>
    <m/>
    <m/>
    <m/>
  </r>
  <r>
    <d v="2026-11-02T00:00:00"/>
    <x v="10"/>
    <x v="42"/>
    <x v="25"/>
    <x v="30"/>
    <s v="a"/>
    <x v="0"/>
    <e v="#N/A"/>
    <m/>
    <m/>
    <m/>
    <m/>
  </r>
  <r>
    <d v="2026-11-02T00:00:00"/>
    <x v="10"/>
    <x v="42"/>
    <x v="25"/>
    <x v="30"/>
    <s v="a"/>
    <x v="0"/>
    <e v="#N/A"/>
    <m/>
    <m/>
    <m/>
    <m/>
  </r>
  <r>
    <d v="2026-11-02T00:00:00"/>
    <x v="10"/>
    <x v="42"/>
    <x v="25"/>
    <x v="30"/>
    <s v="a"/>
    <x v="0"/>
    <e v="#N/A"/>
    <m/>
    <m/>
    <m/>
    <m/>
  </r>
  <r>
    <d v="2026-11-02T00:00:00"/>
    <x v="10"/>
    <x v="42"/>
    <x v="25"/>
    <x v="30"/>
    <s v="a"/>
    <x v="0"/>
    <e v="#N/A"/>
    <m/>
    <m/>
    <m/>
    <m/>
  </r>
  <r>
    <d v="2026-11-02T00:00:00"/>
    <x v="10"/>
    <x v="42"/>
    <x v="25"/>
    <x v="30"/>
    <s v="a"/>
    <x v="0"/>
    <e v="#N/A"/>
    <m/>
    <m/>
    <m/>
    <m/>
  </r>
  <r>
    <d v="2026-11-02T00:00:00"/>
    <x v="10"/>
    <x v="42"/>
    <x v="25"/>
    <x v="30"/>
    <s v="a"/>
    <x v="0"/>
    <e v="#N/A"/>
    <m/>
    <m/>
    <m/>
    <m/>
  </r>
  <r>
    <d v="2026-11-02T00:00:00"/>
    <x v="10"/>
    <x v="42"/>
    <x v="25"/>
    <x v="30"/>
    <s v="a"/>
    <x v="0"/>
    <e v="#N/A"/>
    <m/>
    <m/>
    <m/>
    <m/>
  </r>
  <r>
    <d v="2026-11-02T00:00:00"/>
    <x v="10"/>
    <x v="42"/>
    <x v="25"/>
    <x v="30"/>
    <s v="a"/>
    <x v="0"/>
    <e v="#N/A"/>
    <m/>
    <m/>
    <m/>
    <m/>
  </r>
  <r>
    <d v="2026-11-09T00:00:00"/>
    <x v="10"/>
    <x v="43"/>
    <x v="25"/>
    <x v="30"/>
    <s v="a"/>
    <x v="0"/>
    <e v="#N/A"/>
    <m/>
    <m/>
    <m/>
    <m/>
  </r>
  <r>
    <d v="2026-11-09T00:00:00"/>
    <x v="10"/>
    <x v="43"/>
    <x v="25"/>
    <x v="30"/>
    <s v="a"/>
    <x v="0"/>
    <e v="#N/A"/>
    <m/>
    <m/>
    <m/>
    <m/>
  </r>
  <r>
    <d v="2026-11-09T00:00:00"/>
    <x v="10"/>
    <x v="43"/>
    <x v="25"/>
    <x v="30"/>
    <s v="a"/>
    <x v="0"/>
    <e v="#N/A"/>
    <m/>
    <m/>
    <m/>
    <m/>
  </r>
  <r>
    <d v="2026-11-09T00:00:00"/>
    <x v="10"/>
    <x v="43"/>
    <x v="25"/>
    <x v="30"/>
    <s v="a"/>
    <x v="0"/>
    <e v="#N/A"/>
    <m/>
    <m/>
    <m/>
    <m/>
  </r>
  <r>
    <d v="2026-11-09T00:00:00"/>
    <x v="10"/>
    <x v="43"/>
    <x v="25"/>
    <x v="30"/>
    <s v="a"/>
    <x v="0"/>
    <e v="#N/A"/>
    <m/>
    <m/>
    <m/>
    <m/>
  </r>
  <r>
    <d v="2026-11-09T00:00:00"/>
    <x v="10"/>
    <x v="43"/>
    <x v="25"/>
    <x v="30"/>
    <s v="a"/>
    <x v="0"/>
    <e v="#N/A"/>
    <m/>
    <m/>
    <m/>
    <m/>
  </r>
  <r>
    <d v="2026-11-09T00:00:00"/>
    <x v="10"/>
    <x v="43"/>
    <x v="25"/>
    <x v="30"/>
    <s v="a"/>
    <x v="0"/>
    <e v="#N/A"/>
    <m/>
    <m/>
    <m/>
    <m/>
  </r>
  <r>
    <d v="2026-11-16T00:00:00"/>
    <x v="10"/>
    <x v="44"/>
    <x v="25"/>
    <x v="30"/>
    <s v="a"/>
    <x v="0"/>
    <e v="#N/A"/>
    <m/>
    <m/>
    <m/>
    <m/>
  </r>
  <r>
    <d v="2026-11-16T00:00:00"/>
    <x v="10"/>
    <x v="44"/>
    <x v="25"/>
    <x v="30"/>
    <s v="a"/>
    <x v="0"/>
    <e v="#N/A"/>
    <m/>
    <m/>
    <m/>
    <m/>
  </r>
  <r>
    <d v="2026-11-16T00:00:00"/>
    <x v="10"/>
    <x v="44"/>
    <x v="25"/>
    <x v="30"/>
    <s v="a"/>
    <x v="0"/>
    <e v="#N/A"/>
    <m/>
    <m/>
    <m/>
    <m/>
  </r>
  <r>
    <d v="2026-11-16T00:00:00"/>
    <x v="10"/>
    <x v="44"/>
    <x v="25"/>
    <x v="30"/>
    <s v="a"/>
    <x v="0"/>
    <e v="#N/A"/>
    <m/>
    <m/>
    <m/>
    <m/>
  </r>
  <r>
    <d v="2026-11-16T00:00:00"/>
    <x v="10"/>
    <x v="44"/>
    <x v="25"/>
    <x v="30"/>
    <s v="a"/>
    <x v="0"/>
    <e v="#N/A"/>
    <m/>
    <m/>
    <m/>
    <m/>
  </r>
  <r>
    <d v="2026-11-16T00:00:00"/>
    <x v="10"/>
    <x v="44"/>
    <x v="25"/>
    <x v="30"/>
    <s v="a"/>
    <x v="0"/>
    <e v="#N/A"/>
    <m/>
    <m/>
    <m/>
    <m/>
  </r>
  <r>
    <d v="2026-11-16T00:00:00"/>
    <x v="10"/>
    <x v="44"/>
    <x v="25"/>
    <x v="30"/>
    <s v="a"/>
    <x v="0"/>
    <e v="#N/A"/>
    <m/>
    <m/>
    <m/>
    <m/>
  </r>
  <r>
    <d v="2026-11-23T00:00:00"/>
    <x v="10"/>
    <x v="45"/>
    <x v="25"/>
    <x v="30"/>
    <s v="a"/>
    <x v="0"/>
    <e v="#N/A"/>
    <m/>
    <m/>
    <m/>
    <m/>
  </r>
  <r>
    <d v="2026-11-23T00:00:00"/>
    <x v="10"/>
    <x v="45"/>
    <x v="25"/>
    <x v="30"/>
    <s v="a"/>
    <x v="0"/>
    <e v="#N/A"/>
    <m/>
    <m/>
    <m/>
    <m/>
  </r>
  <r>
    <d v="2026-11-23T00:00:00"/>
    <x v="10"/>
    <x v="45"/>
    <x v="25"/>
    <x v="30"/>
    <s v="a"/>
    <x v="0"/>
    <e v="#N/A"/>
    <m/>
    <m/>
    <m/>
    <m/>
  </r>
  <r>
    <d v="2026-11-23T00:00:00"/>
    <x v="10"/>
    <x v="45"/>
    <x v="25"/>
    <x v="30"/>
    <s v="a"/>
    <x v="0"/>
    <e v="#N/A"/>
    <m/>
    <m/>
    <m/>
    <m/>
  </r>
  <r>
    <d v="2026-11-23T00:00:00"/>
    <x v="10"/>
    <x v="45"/>
    <x v="25"/>
    <x v="30"/>
    <s v="a"/>
    <x v="0"/>
    <e v="#N/A"/>
    <m/>
    <m/>
    <m/>
    <m/>
  </r>
  <r>
    <d v="2026-11-23T00:00:00"/>
    <x v="10"/>
    <x v="45"/>
    <x v="25"/>
    <x v="30"/>
    <s v="a"/>
    <x v="0"/>
    <e v="#N/A"/>
    <m/>
    <m/>
    <m/>
    <m/>
  </r>
  <r>
    <d v="2026-11-23T00:00:00"/>
    <x v="10"/>
    <x v="45"/>
    <x v="25"/>
    <x v="30"/>
    <s v="a"/>
    <x v="0"/>
    <e v="#N/A"/>
    <m/>
    <m/>
    <m/>
    <m/>
  </r>
  <r>
    <d v="2026-11-23T00:00:00"/>
    <x v="10"/>
    <x v="45"/>
    <x v="25"/>
    <x v="30"/>
    <s v="a"/>
    <x v="0"/>
    <e v="#N/A"/>
    <m/>
    <m/>
    <m/>
    <m/>
  </r>
  <r>
    <d v="2026-11-30T00:00:00"/>
    <x v="10"/>
    <x v="46"/>
    <x v="25"/>
    <x v="30"/>
    <s v="a"/>
    <x v="0"/>
    <e v="#N/A"/>
    <m/>
    <m/>
    <m/>
    <m/>
  </r>
  <r>
    <d v="2026-11-30T00:00:00"/>
    <x v="10"/>
    <x v="46"/>
    <x v="25"/>
    <x v="30"/>
    <s v="a"/>
    <x v="0"/>
    <e v="#N/A"/>
    <m/>
    <m/>
    <m/>
    <m/>
  </r>
  <r>
    <d v="2026-11-30T00:00:00"/>
    <x v="10"/>
    <x v="46"/>
    <x v="25"/>
    <x v="30"/>
    <s v="a"/>
    <x v="0"/>
    <e v="#N/A"/>
    <m/>
    <m/>
    <m/>
    <m/>
  </r>
  <r>
    <d v="2026-11-30T00:00:00"/>
    <x v="10"/>
    <x v="46"/>
    <x v="25"/>
    <x v="30"/>
    <s v="a"/>
    <x v="0"/>
    <e v="#N/A"/>
    <m/>
    <m/>
    <m/>
    <m/>
  </r>
  <r>
    <d v="2026-11-30T00:00:00"/>
    <x v="10"/>
    <x v="46"/>
    <x v="25"/>
    <x v="30"/>
    <s v="a"/>
    <x v="0"/>
    <e v="#N/A"/>
    <m/>
    <m/>
    <m/>
    <m/>
  </r>
  <r>
    <d v="2026-11-30T00:00:00"/>
    <x v="10"/>
    <x v="46"/>
    <x v="25"/>
    <x v="30"/>
    <s v="a"/>
    <x v="0"/>
    <e v="#N/A"/>
    <m/>
    <m/>
    <m/>
    <m/>
  </r>
  <r>
    <d v="2026-11-30T00:00:00"/>
    <x v="10"/>
    <x v="46"/>
    <x v="25"/>
    <x v="30"/>
    <s v="a"/>
    <x v="0"/>
    <e v="#N/A"/>
    <m/>
    <m/>
    <m/>
    <m/>
  </r>
  <r>
    <d v="2026-11-30T00:00:00"/>
    <x v="10"/>
    <x v="46"/>
    <x v="25"/>
    <x v="30"/>
    <s v="a"/>
    <x v="0"/>
    <e v="#N/A"/>
    <m/>
    <m/>
    <m/>
    <m/>
  </r>
  <r>
    <d v="2026-11-30T00:00:00"/>
    <x v="10"/>
    <x v="46"/>
    <x v="25"/>
    <x v="30"/>
    <s v="a"/>
    <x v="0"/>
    <e v="#N/A"/>
    <m/>
    <m/>
    <m/>
    <m/>
  </r>
  <r>
    <d v="2026-12-07T00:00:00"/>
    <x v="11"/>
    <x v="47"/>
    <x v="25"/>
    <x v="30"/>
    <s v="a"/>
    <x v="0"/>
    <e v="#N/A"/>
    <m/>
    <m/>
    <m/>
    <m/>
  </r>
  <r>
    <d v="2026-12-07T00:00:00"/>
    <x v="11"/>
    <x v="47"/>
    <x v="25"/>
    <x v="30"/>
    <s v="a"/>
    <x v="0"/>
    <e v="#N/A"/>
    <m/>
    <m/>
    <m/>
    <m/>
  </r>
  <r>
    <d v="2026-12-07T00:00:00"/>
    <x v="11"/>
    <x v="47"/>
    <x v="25"/>
    <x v="30"/>
    <s v="a"/>
    <x v="0"/>
    <e v="#N/A"/>
    <m/>
    <m/>
    <m/>
    <m/>
  </r>
  <r>
    <d v="2026-12-07T00:00:00"/>
    <x v="11"/>
    <x v="47"/>
    <x v="25"/>
    <x v="30"/>
    <s v="a"/>
    <x v="0"/>
    <e v="#N/A"/>
    <m/>
    <m/>
    <m/>
    <m/>
  </r>
  <r>
    <d v="2026-12-07T00:00:00"/>
    <x v="11"/>
    <x v="47"/>
    <x v="25"/>
    <x v="30"/>
    <s v="a"/>
    <x v="0"/>
    <e v="#N/A"/>
    <m/>
    <m/>
    <m/>
    <m/>
  </r>
  <r>
    <d v="2026-12-07T00:00:00"/>
    <x v="11"/>
    <x v="47"/>
    <x v="25"/>
    <x v="30"/>
    <s v="a"/>
    <x v="0"/>
    <e v="#N/A"/>
    <m/>
    <m/>
    <m/>
    <m/>
  </r>
  <r>
    <d v="2026-12-07T00:00:00"/>
    <x v="11"/>
    <x v="47"/>
    <x v="25"/>
    <x v="30"/>
    <s v="a"/>
    <x v="0"/>
    <e v="#N/A"/>
    <m/>
    <m/>
    <m/>
    <m/>
  </r>
  <r>
    <d v="2026-12-07T00:00:00"/>
    <x v="11"/>
    <x v="47"/>
    <x v="25"/>
    <x v="30"/>
    <s v="a"/>
    <x v="0"/>
    <e v="#N/A"/>
    <m/>
    <m/>
    <m/>
    <m/>
  </r>
  <r>
    <d v="2026-12-07T00:00:00"/>
    <x v="11"/>
    <x v="47"/>
    <x v="25"/>
    <x v="30"/>
    <s v="a"/>
    <x v="0"/>
    <e v="#N/A"/>
    <m/>
    <m/>
    <m/>
    <m/>
  </r>
  <r>
    <d v="2026-12-14T00:00:00"/>
    <x v="11"/>
    <x v="48"/>
    <x v="25"/>
    <x v="30"/>
    <s v="a"/>
    <x v="0"/>
    <e v="#N/A"/>
    <m/>
    <m/>
    <m/>
    <m/>
  </r>
  <r>
    <d v="2026-12-14T00:00:00"/>
    <x v="11"/>
    <x v="48"/>
    <x v="25"/>
    <x v="30"/>
    <s v="a"/>
    <x v="0"/>
    <e v="#N/A"/>
    <m/>
    <m/>
    <m/>
    <m/>
  </r>
  <r>
    <d v="2026-12-14T00:00:00"/>
    <x v="11"/>
    <x v="48"/>
    <x v="25"/>
    <x v="30"/>
    <s v="a"/>
    <x v="0"/>
    <e v="#N/A"/>
    <m/>
    <m/>
    <m/>
    <m/>
  </r>
  <r>
    <d v="2026-12-14T00:00:00"/>
    <x v="11"/>
    <x v="48"/>
    <x v="25"/>
    <x v="30"/>
    <s v="a"/>
    <x v="0"/>
    <e v="#N/A"/>
    <m/>
    <m/>
    <m/>
    <m/>
  </r>
  <r>
    <d v="2026-12-14T00:00:00"/>
    <x v="11"/>
    <x v="48"/>
    <x v="25"/>
    <x v="30"/>
    <s v="a"/>
    <x v="0"/>
    <e v="#N/A"/>
    <m/>
    <m/>
    <m/>
    <m/>
  </r>
  <r>
    <d v="2026-12-14T00:00:00"/>
    <x v="11"/>
    <x v="48"/>
    <x v="25"/>
    <x v="30"/>
    <s v="a"/>
    <x v="0"/>
    <e v="#N/A"/>
    <m/>
    <m/>
    <m/>
    <m/>
  </r>
  <r>
    <d v="2026-12-14T00:00:00"/>
    <x v="11"/>
    <x v="48"/>
    <x v="25"/>
    <x v="30"/>
    <s v="a"/>
    <x v="0"/>
    <e v="#N/A"/>
    <m/>
    <m/>
    <m/>
    <m/>
  </r>
  <r>
    <d v="2026-12-14T00:00:00"/>
    <x v="11"/>
    <x v="48"/>
    <x v="25"/>
    <x v="30"/>
    <s v="a"/>
    <x v="0"/>
    <e v="#N/A"/>
    <m/>
    <m/>
    <m/>
    <m/>
  </r>
  <r>
    <d v="2026-12-14T00:00:00"/>
    <x v="11"/>
    <x v="48"/>
    <x v="25"/>
    <x v="30"/>
    <s v="a"/>
    <x v="0"/>
    <e v="#N/A"/>
    <m/>
    <m/>
    <m/>
    <m/>
  </r>
  <r>
    <d v="2026-12-21T00:00:00"/>
    <x v="11"/>
    <x v="49"/>
    <x v="25"/>
    <x v="30"/>
    <s v="a"/>
    <x v="0"/>
    <e v="#N/A"/>
    <m/>
    <m/>
    <m/>
    <m/>
  </r>
  <r>
    <d v="2026-12-21T00:00:00"/>
    <x v="11"/>
    <x v="49"/>
    <x v="25"/>
    <x v="30"/>
    <s v="a"/>
    <x v="0"/>
    <e v="#N/A"/>
    <m/>
    <m/>
    <m/>
    <m/>
  </r>
  <r>
    <d v="2026-12-21T00:00:00"/>
    <x v="11"/>
    <x v="49"/>
    <x v="25"/>
    <x v="30"/>
    <s v="a"/>
    <x v="0"/>
    <e v="#N/A"/>
    <m/>
    <m/>
    <m/>
    <m/>
  </r>
  <r>
    <d v="2026-12-21T00:00:00"/>
    <x v="11"/>
    <x v="49"/>
    <x v="25"/>
    <x v="30"/>
    <s v="a"/>
    <x v="0"/>
    <e v="#N/A"/>
    <m/>
    <m/>
    <m/>
    <m/>
  </r>
  <r>
    <d v="2026-12-21T00:00:00"/>
    <x v="11"/>
    <x v="49"/>
    <x v="25"/>
    <x v="30"/>
    <s v="a"/>
    <x v="0"/>
    <e v="#N/A"/>
    <m/>
    <m/>
    <m/>
    <m/>
  </r>
  <r>
    <d v="2026-12-28T00:00:00"/>
    <x v="11"/>
    <x v="50"/>
    <x v="25"/>
    <x v="30"/>
    <s v="a"/>
    <x v="0"/>
    <e v="#N/A"/>
    <m/>
    <m/>
    <m/>
    <m/>
  </r>
  <r>
    <d v="2026-12-28T00:00:00"/>
    <x v="11"/>
    <x v="50"/>
    <x v="25"/>
    <x v="30"/>
    <s v="a"/>
    <x v="0"/>
    <e v="#N/A"/>
    <m/>
    <m/>
    <m/>
    <m/>
  </r>
  <r>
    <d v="2026-12-28T00:00:00"/>
    <x v="11"/>
    <x v="50"/>
    <x v="25"/>
    <x v="30"/>
    <s v="a"/>
    <x v="0"/>
    <e v="#N/A"/>
    <m/>
    <m/>
    <m/>
    <m/>
  </r>
  <r>
    <d v="2026-12-28T00:00:00"/>
    <x v="11"/>
    <x v="50"/>
    <x v="25"/>
    <x v="30"/>
    <s v="a"/>
    <x v="0"/>
    <e v="#N/A"/>
    <m/>
    <m/>
    <m/>
    <m/>
  </r>
  <r>
    <d v="2026-12-28T00:00:00"/>
    <x v="11"/>
    <x v="50"/>
    <x v="25"/>
    <x v="30"/>
    <s v="a"/>
    <x v="0"/>
    <e v="#N/A"/>
    <m/>
    <m/>
    <m/>
    <m/>
  </r>
  <r>
    <d v="2026-12-28T00:00:00"/>
    <x v="11"/>
    <x v="50"/>
    <x v="25"/>
    <x v="30"/>
    <s v="a"/>
    <x v="0"/>
    <e v="#N/A"/>
    <m/>
    <m/>
    <m/>
    <m/>
  </r>
  <r>
    <d v="2026-12-28T00:00:00"/>
    <x v="11"/>
    <x v="50"/>
    <x v="25"/>
    <x v="30"/>
    <s v="a"/>
    <x v="0"/>
    <e v="#N/A"/>
    <m/>
    <m/>
    <m/>
    <m/>
  </r>
  <r>
    <d v="2026-12-28T00:00:00"/>
    <x v="11"/>
    <x v="50"/>
    <x v="25"/>
    <x v="30"/>
    <s v="a"/>
    <x v="0"/>
    <e v="#N/A"/>
    <m/>
    <m/>
    <m/>
    <m/>
  </r>
  <r>
    <d v="2026-12-01T00:00:00"/>
    <x v="11"/>
    <x v="46"/>
    <x v="25"/>
    <x v="30"/>
    <s v="a"/>
    <x v="0"/>
    <e v="#N/A"/>
    <m/>
    <m/>
    <m/>
    <m/>
  </r>
  <r>
    <d v="2026-12-08T00:00:00"/>
    <x v="11"/>
    <x v="47"/>
    <x v="25"/>
    <x v="30"/>
    <s v="a"/>
    <x v="0"/>
    <e v="#N/A"/>
    <m/>
    <m/>
    <m/>
    <m/>
  </r>
  <r>
    <d v="2026-12-08T00:00:00"/>
    <x v="11"/>
    <x v="47"/>
    <x v="25"/>
    <x v="30"/>
    <s v="a"/>
    <x v="0"/>
    <e v="#N/A"/>
    <m/>
    <m/>
    <m/>
    <m/>
  </r>
  <r>
    <d v="2026-12-15T00:00:00"/>
    <x v="11"/>
    <x v="48"/>
    <x v="25"/>
    <x v="30"/>
    <s v="a"/>
    <x v="0"/>
    <e v="#N/A"/>
    <m/>
    <m/>
    <m/>
    <m/>
  </r>
  <r>
    <d v="2026-12-15T00:00:00"/>
    <x v="11"/>
    <x v="48"/>
    <x v="25"/>
    <x v="30"/>
    <s v="a"/>
    <x v="0"/>
    <e v="#N/A"/>
    <m/>
    <m/>
    <m/>
    <m/>
  </r>
  <r>
    <d v="2026-12-15T00:00:00"/>
    <x v="11"/>
    <x v="48"/>
    <x v="25"/>
    <x v="30"/>
    <s v="a"/>
    <x v="0"/>
    <e v="#N/A"/>
    <m/>
    <m/>
    <m/>
    <m/>
  </r>
  <r>
    <d v="2026-12-15T00:00:00"/>
    <x v="11"/>
    <x v="48"/>
    <x v="25"/>
    <x v="30"/>
    <s v="a"/>
    <x v="0"/>
    <e v="#N/A"/>
    <m/>
    <m/>
    <m/>
    <m/>
  </r>
  <r>
    <d v="2026-12-15T00:00:00"/>
    <x v="11"/>
    <x v="48"/>
    <x v="25"/>
    <x v="30"/>
    <s v="a"/>
    <x v="0"/>
    <e v="#N/A"/>
    <m/>
    <m/>
    <m/>
    <m/>
  </r>
  <r>
    <d v="2026-12-15T00:00:00"/>
    <x v="11"/>
    <x v="48"/>
    <x v="25"/>
    <x v="30"/>
    <s v="a"/>
    <x v="0"/>
    <e v="#N/A"/>
    <m/>
    <m/>
    <m/>
    <m/>
  </r>
  <r>
    <d v="2026-12-15T00:00:00"/>
    <x v="11"/>
    <x v="48"/>
    <x v="25"/>
    <x v="30"/>
    <s v="a"/>
    <x v="0"/>
    <e v="#N/A"/>
    <m/>
    <m/>
    <m/>
    <m/>
  </r>
  <r>
    <d v="2026-12-22T00:00:00"/>
    <x v="11"/>
    <x v="49"/>
    <x v="25"/>
    <x v="30"/>
    <s v="a"/>
    <x v="0"/>
    <e v="#N/A"/>
    <m/>
    <m/>
    <m/>
    <m/>
  </r>
  <r>
    <d v="2026-12-22T00:00:00"/>
    <x v="11"/>
    <x v="49"/>
    <x v="25"/>
    <x v="30"/>
    <s v="a"/>
    <x v="0"/>
    <e v="#N/A"/>
    <m/>
    <m/>
    <m/>
    <m/>
  </r>
  <r>
    <d v="2026-12-22T00:00:00"/>
    <x v="11"/>
    <x v="49"/>
    <x v="25"/>
    <x v="30"/>
    <s v="a"/>
    <x v="0"/>
    <e v="#N/A"/>
    <m/>
    <m/>
    <m/>
    <m/>
  </r>
  <r>
    <d v="2026-12-22T00:00:00"/>
    <x v="11"/>
    <x v="49"/>
    <x v="25"/>
    <x v="30"/>
    <s v="a"/>
    <x v="0"/>
    <e v="#N/A"/>
    <m/>
    <m/>
    <m/>
    <m/>
  </r>
  <r>
    <d v="2026-12-22T00:00:00"/>
    <x v="11"/>
    <x v="49"/>
    <x v="25"/>
    <x v="30"/>
    <s v="a"/>
    <x v="0"/>
    <e v="#N/A"/>
    <m/>
    <m/>
    <m/>
    <m/>
  </r>
  <r>
    <d v="2026-12-22T00:00:00"/>
    <x v="11"/>
    <x v="49"/>
    <x v="25"/>
    <x v="30"/>
    <s v="a"/>
    <x v="0"/>
    <e v="#N/A"/>
    <m/>
    <m/>
    <m/>
    <m/>
  </r>
  <r>
    <d v="2026-12-22T00:00:00"/>
    <x v="11"/>
    <x v="49"/>
    <x v="25"/>
    <x v="30"/>
    <s v="a"/>
    <x v="0"/>
    <e v="#N/A"/>
    <m/>
    <m/>
    <m/>
    <m/>
  </r>
  <r>
    <d v="2026-12-22T00:00:00"/>
    <x v="11"/>
    <x v="49"/>
    <x v="25"/>
    <x v="30"/>
    <s v="a"/>
    <x v="0"/>
    <e v="#N/A"/>
    <m/>
    <m/>
    <m/>
    <m/>
  </r>
  <r>
    <d v="2026-12-29T00:00:00"/>
    <x v="11"/>
    <x v="50"/>
    <x v="25"/>
    <x v="30"/>
    <s v="a"/>
    <x v="0"/>
    <e v="#N/A"/>
    <m/>
    <m/>
    <m/>
    <m/>
  </r>
  <r>
    <d v="2026-12-29T00:00:00"/>
    <x v="11"/>
    <x v="50"/>
    <x v="25"/>
    <x v="30"/>
    <s v="a"/>
    <x v="0"/>
    <e v="#N/A"/>
    <m/>
    <m/>
    <m/>
    <m/>
  </r>
  <r>
    <d v="2026-12-29T00:00:00"/>
    <x v="11"/>
    <x v="50"/>
    <x v="25"/>
    <x v="30"/>
    <s v="a"/>
    <x v="0"/>
    <e v="#N/A"/>
    <m/>
    <m/>
    <m/>
    <m/>
  </r>
  <r>
    <d v="2026-12-29T00:00:00"/>
    <x v="11"/>
    <x v="50"/>
    <x v="25"/>
    <x v="30"/>
    <s v="a"/>
    <x v="0"/>
    <e v="#N/A"/>
    <m/>
    <m/>
    <m/>
    <m/>
  </r>
  <r>
    <d v="2026-12-29T00:00:00"/>
    <x v="11"/>
    <x v="50"/>
    <x v="25"/>
    <x v="30"/>
    <s v="a"/>
    <x v="0"/>
    <e v="#N/A"/>
    <m/>
    <m/>
    <m/>
    <m/>
  </r>
  <r>
    <d v="2026-12-22T00:00:00"/>
    <x v="11"/>
    <x v="49"/>
    <x v="25"/>
    <x v="30"/>
    <s v="a"/>
    <x v="0"/>
    <e v="#N/A"/>
    <m/>
    <m/>
    <m/>
    <m/>
  </r>
  <r>
    <d v="2026-12-22T00:00:00"/>
    <x v="11"/>
    <x v="49"/>
    <x v="25"/>
    <x v="30"/>
    <s v="a"/>
    <x v="0"/>
    <e v="#N/A"/>
    <m/>
    <m/>
    <m/>
    <m/>
  </r>
  <r>
    <d v="2026-12-22T00:00:00"/>
    <x v="11"/>
    <x v="49"/>
    <x v="25"/>
    <x v="30"/>
    <s v="a"/>
    <x v="0"/>
    <e v="#N/A"/>
    <m/>
    <m/>
    <m/>
    <m/>
  </r>
  <r>
    <d v="2026-12-01T00:00:00"/>
    <x v="11"/>
    <x v="46"/>
    <x v="25"/>
    <x v="30"/>
    <s v="a"/>
    <x v="0"/>
    <e v="#N/A"/>
    <m/>
    <m/>
    <m/>
    <m/>
  </r>
  <r>
    <d v="2026-12-01T00:00:00"/>
    <x v="11"/>
    <x v="46"/>
    <x v="25"/>
    <x v="30"/>
    <s v="a"/>
    <x v="0"/>
    <e v="#N/A"/>
    <m/>
    <m/>
    <m/>
    <m/>
  </r>
  <r>
    <d v="2026-12-01T00:00:00"/>
    <x v="11"/>
    <x v="46"/>
    <x v="25"/>
    <x v="30"/>
    <s v="a"/>
    <x v="0"/>
    <e v="#N/A"/>
    <m/>
    <m/>
    <m/>
    <m/>
  </r>
  <r>
    <d v="2026-12-01T00:00:00"/>
    <x v="11"/>
    <x v="46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a"/>
    <x v="0"/>
    <e v="#N/A"/>
    <m/>
    <m/>
    <m/>
    <m/>
  </r>
  <r>
    <d v="2026-10-04T00:00:00"/>
    <x v="9"/>
    <x v="38"/>
    <x v="25"/>
    <x v="30"/>
    <s v="j"/>
    <x v="2"/>
    <e v="#N/A"/>
    <m/>
    <m/>
    <m/>
    <m/>
  </r>
  <r>
    <d v="2026-10-04T00:00:00"/>
    <x v="9"/>
    <x v="38"/>
    <x v="25"/>
    <x v="31"/>
    <m/>
    <x v="3"/>
    <m/>
    <m/>
    <m/>
    <m/>
    <m/>
  </r>
  <r>
    <d v="2026-10-04T00:00:00"/>
    <x v="9"/>
    <x v="38"/>
    <x v="25"/>
    <x v="31"/>
    <m/>
    <x v="3"/>
    <m/>
    <m/>
    <m/>
    <m/>
    <m/>
  </r>
  <r>
    <d v="2026-10-04T00:00:00"/>
    <x v="9"/>
    <x v="38"/>
    <x v="25"/>
    <x v="31"/>
    <m/>
    <x v="3"/>
    <m/>
    <m/>
    <m/>
    <m/>
    <m/>
  </r>
  <r>
    <d v="2026-10-04T00:00:00"/>
    <x v="9"/>
    <x v="38"/>
    <x v="25"/>
    <x v="31"/>
    <m/>
    <x v="3"/>
    <m/>
    <m/>
    <m/>
    <m/>
    <m/>
  </r>
  <r>
    <d v="2026-10-04T00:00:00"/>
    <x v="9"/>
    <x v="51"/>
    <x v="25"/>
    <x v="31"/>
    <m/>
    <x v="3"/>
    <m/>
    <m/>
    <m/>
    <m/>
    <m/>
  </r>
  <r>
    <m/>
    <x v="0"/>
    <x v="51"/>
    <x v="25"/>
    <x v="31"/>
    <m/>
    <x v="3"/>
    <m/>
    <m/>
    <m/>
    <m/>
    <m/>
  </r>
  <r>
    <m/>
    <x v="12"/>
    <x v="52"/>
    <x v="25"/>
    <x v="31"/>
    <m/>
    <x v="3"/>
    <m/>
    <m/>
    <m/>
    <m/>
    <m/>
  </r>
  <r>
    <m/>
    <x v="12"/>
    <x v="52"/>
    <x v="25"/>
    <x v="31"/>
    <m/>
    <x v="3"/>
    <m/>
    <m/>
    <m/>
    <m/>
    <m/>
  </r>
  <r>
    <m/>
    <x v="12"/>
    <x v="52"/>
    <x v="25"/>
    <x v="31"/>
    <m/>
    <x v="3"/>
    <m/>
    <m/>
    <m/>
    <m/>
    <m/>
  </r>
  <r>
    <m/>
    <x v="12"/>
    <x v="52"/>
    <x v="25"/>
    <x v="31"/>
    <m/>
    <x v="3"/>
    <m/>
    <m/>
    <m/>
    <m/>
    <m/>
  </r>
  <r>
    <m/>
    <x v="12"/>
    <x v="52"/>
    <x v="25"/>
    <x v="31"/>
    <m/>
    <x v="3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69">
  <r>
    <d v="2026-01-04T00:00:00"/>
    <x v="0"/>
    <n v="2"/>
    <x v="0"/>
    <x v="0"/>
    <s v="a"/>
    <s v="主日奉獻"/>
    <m/>
    <m/>
    <n v="172"/>
  </r>
  <r>
    <d v="2026-01-04T00:00:00"/>
    <x v="0"/>
    <n v="2"/>
    <x v="1"/>
    <x v="1"/>
    <s v="a"/>
    <s v="主日奉獻"/>
    <m/>
    <m/>
    <n v="20"/>
  </r>
  <r>
    <d v="2026-01-04T00:00:00"/>
    <x v="0"/>
    <n v="2"/>
    <x v="2"/>
    <x v="2"/>
    <s v="a"/>
    <s v="主日奉獻"/>
    <n v="0"/>
    <m/>
    <n v="162"/>
  </r>
  <r>
    <d v="2026-01-04T00:00:00"/>
    <x v="0"/>
    <n v="2"/>
    <x v="3"/>
    <x v="3"/>
    <s v="a"/>
    <s v="主日奉獻"/>
    <s v="Bank of America"/>
    <n v="1373"/>
    <n v="100"/>
  </r>
  <r>
    <d v="2026-01-11T00:00:00"/>
    <x v="0"/>
    <n v="3"/>
    <x v="4"/>
    <x v="4"/>
    <s v="a"/>
    <s v="主日奉獻"/>
    <n v="0"/>
    <m/>
    <n v="10"/>
  </r>
  <r>
    <d v="2026-01-11T00:00:00"/>
    <x v="0"/>
    <n v="3"/>
    <x v="2"/>
    <x v="2"/>
    <s v="a"/>
    <s v="主日奉獻"/>
    <n v="0"/>
    <m/>
    <n v="43"/>
  </r>
  <r>
    <d v="2026-01-11T00:00:00"/>
    <x v="0"/>
    <n v="3"/>
    <x v="3"/>
    <x v="3"/>
    <s v="a"/>
    <s v="主日奉獻"/>
    <s v="Bank of America"/>
    <n v="1347"/>
    <n v="100"/>
  </r>
  <r>
    <d v="2026-01-11T00:00:00"/>
    <x v="0"/>
    <n v="3"/>
    <x v="5"/>
    <x v="5"/>
    <s v="a"/>
    <s v="主日奉獻"/>
    <s v="Bank of America"/>
    <n v="325"/>
    <n v="500"/>
  </r>
  <r>
    <d v="2026-01-11T00:00:00"/>
    <x v="0"/>
    <n v="3"/>
    <x v="6"/>
    <x v="6"/>
    <s v="a"/>
    <s v="主日奉獻"/>
    <s v="Bank of America"/>
    <n v="1776"/>
    <n v="100"/>
  </r>
  <r>
    <d v="2026-01-11T00:00:00"/>
    <x v="0"/>
    <n v="3"/>
    <x v="7"/>
    <x v="7"/>
    <s v="a"/>
    <s v="主日奉獻"/>
    <s v="Bank of America"/>
    <n v="5524"/>
    <n v="200"/>
  </r>
  <r>
    <d v="2026-01-11T00:00:00"/>
    <x v="0"/>
    <n v="3"/>
    <x v="2"/>
    <x v="2"/>
    <s v="a"/>
    <s v="主日奉獻"/>
    <s v="人民幣 ¥8"/>
    <m/>
    <n v="1.07"/>
  </r>
  <r>
    <d v="2026-01-18T00:00:00"/>
    <x v="0"/>
    <n v="4"/>
    <x v="8"/>
    <x v="8"/>
    <s v="a"/>
    <s v="主日奉獻"/>
    <n v="0"/>
    <m/>
    <n v="100"/>
  </r>
  <r>
    <d v="2026-01-18T00:00:00"/>
    <x v="0"/>
    <n v="4"/>
    <x v="9"/>
    <x v="9"/>
    <s v="a"/>
    <s v="主日奉獻"/>
    <m/>
    <m/>
    <n v="50"/>
  </r>
  <r>
    <d v="2026-01-18T00:00:00"/>
    <x v="0"/>
    <n v="4"/>
    <x v="2"/>
    <x v="2"/>
    <s v="b"/>
    <s v="什一奉獻"/>
    <s v="不願留名女士奉獻"/>
    <m/>
    <n v="2000"/>
  </r>
  <r>
    <d v="2026-01-18T00:00:00"/>
    <x v="0"/>
    <n v="4"/>
    <x v="0"/>
    <x v="0"/>
    <s v="a"/>
    <s v="主日奉獻"/>
    <n v="0"/>
    <m/>
    <n v="100"/>
  </r>
  <r>
    <d v="2026-01-18T00:00:00"/>
    <x v="0"/>
    <n v="4"/>
    <x v="4"/>
    <x v="4"/>
    <s v="a"/>
    <s v="主日奉獻"/>
    <n v="0"/>
    <m/>
    <n v="10"/>
  </r>
  <r>
    <d v="2026-01-18T00:00:00"/>
    <x v="0"/>
    <n v="4"/>
    <x v="2"/>
    <x v="2"/>
    <s v="a"/>
    <s v="主日奉獻"/>
    <n v="0"/>
    <m/>
    <n v="9"/>
  </r>
  <r>
    <d v="2026-01-18T00:00:00"/>
    <x v="0"/>
    <n v="4"/>
    <x v="6"/>
    <x v="6"/>
    <s v="a"/>
    <s v="主日奉獻"/>
    <s v="Bank of America"/>
    <n v="1777"/>
    <n v="200"/>
  </r>
  <r>
    <d v="2026-01-18T00:00:00"/>
    <x v="0"/>
    <n v="4"/>
    <x v="7"/>
    <x v="7"/>
    <s v="a"/>
    <s v="主日奉獻"/>
    <s v="Bank of America"/>
    <n v="5525"/>
    <n v="200"/>
  </r>
  <r>
    <d v="2026-01-18T00:00:00"/>
    <x v="0"/>
    <n v="4"/>
    <x v="3"/>
    <x v="3"/>
    <s v="a"/>
    <s v="主日奉獻"/>
    <s v="Bank of America"/>
    <n v="1348"/>
    <n v="100"/>
  </r>
  <r>
    <d v="2026-01-18T00:00:00"/>
    <x v="0"/>
    <n v="4"/>
    <x v="10"/>
    <x v="10"/>
    <s v="a"/>
    <s v="主日奉獻"/>
    <s v="Bank of America"/>
    <n v="135"/>
    <n v="100"/>
  </r>
  <r>
    <d v="2026-01-25T00:00:00"/>
    <x v="0"/>
    <n v="5"/>
    <x v="4"/>
    <x v="4"/>
    <s v="a"/>
    <s v="主日奉獻"/>
    <n v="0"/>
    <m/>
    <n v="10"/>
  </r>
  <r>
    <d v="2026-01-25T00:00:00"/>
    <x v="0"/>
    <n v="5"/>
    <x v="1"/>
    <x v="1"/>
    <s v="a"/>
    <s v="主日奉獻"/>
    <m/>
    <m/>
    <n v="20"/>
  </r>
  <r>
    <d v="2026-01-25T00:00:00"/>
    <x v="0"/>
    <n v="5"/>
    <x v="2"/>
    <x v="2"/>
    <s v="a"/>
    <s v="主日奉獻"/>
    <n v="0"/>
    <m/>
    <n v="323"/>
  </r>
  <r>
    <d v="2026-01-25T00:00:00"/>
    <x v="0"/>
    <n v="5"/>
    <x v="3"/>
    <x v="3"/>
    <s v="a"/>
    <s v="主日奉獻"/>
    <s v="Chase"/>
    <n v="1349"/>
    <n v="100"/>
  </r>
  <r>
    <d v="2026-01-25T00:00:00"/>
    <x v="0"/>
    <n v="5"/>
    <x v="11"/>
    <x v="11"/>
    <s v="a"/>
    <s v="主日奉獻"/>
    <s v="US Bank"/>
    <n v="9844"/>
    <n v="100"/>
  </r>
  <r>
    <d v="2026-01-25T00:00:00"/>
    <x v="0"/>
    <n v="5"/>
    <x v="5"/>
    <x v="5"/>
    <s v="a"/>
    <s v="主日奉獻"/>
    <s v="Bank of America"/>
    <n v="154"/>
    <n v="100"/>
  </r>
  <r>
    <d v="2026-02-01T00:00:00"/>
    <x v="1"/>
    <n v="6"/>
    <x v="1"/>
    <x v="1"/>
    <s v="a"/>
    <s v="主日奉獻"/>
    <m/>
    <m/>
    <n v="20"/>
  </r>
  <r>
    <d v="2026-02-01T00:00:00"/>
    <x v="1"/>
    <n v="6"/>
    <x v="12"/>
    <x v="12"/>
    <s v="a"/>
    <s v="主日奉獻"/>
    <m/>
    <m/>
    <n v="100"/>
  </r>
  <r>
    <d v="2026-02-01T00:00:00"/>
    <x v="1"/>
    <n v="6"/>
    <x v="2"/>
    <x v="2"/>
    <s v="a"/>
    <s v="主日奉獻"/>
    <n v="0"/>
    <m/>
    <n v="32"/>
  </r>
  <r>
    <d v="2026-02-01T00:00:00"/>
    <x v="1"/>
    <n v="6"/>
    <x v="3"/>
    <x v="3"/>
    <s v="a"/>
    <s v="主日奉獻"/>
    <s v="Bank of America"/>
    <n v="1350"/>
    <n v="100"/>
  </r>
  <r>
    <d v="2026-02-01T00:00:00"/>
    <x v="1"/>
    <n v="6"/>
    <x v="7"/>
    <x v="7"/>
    <s v="a"/>
    <s v="主日奉獻"/>
    <s v="Bank of America"/>
    <n v="5526"/>
    <n v="200"/>
  </r>
  <r>
    <d v="2026-02-01T00:00:00"/>
    <x v="1"/>
    <n v="6"/>
    <x v="11"/>
    <x v="11"/>
    <s v="a"/>
    <s v="主日奉獻"/>
    <s v="US Bank"/>
    <n v="9821"/>
    <n v="100"/>
  </r>
  <r>
    <d v="2026-02-01T00:00:00"/>
    <x v="1"/>
    <n v="6"/>
    <x v="5"/>
    <x v="5"/>
    <s v="a"/>
    <s v="主日奉獻"/>
    <s v="Bank of America"/>
    <n v="455"/>
    <n v="500"/>
  </r>
  <r>
    <d v="2026-02-08T00:00:00"/>
    <x v="1"/>
    <n v="7"/>
    <x v="2"/>
    <x v="2"/>
    <s v="a"/>
    <s v="主日奉獻"/>
    <n v="0"/>
    <m/>
    <n v="29"/>
  </r>
  <r>
    <d v="2026-02-08T00:00:00"/>
    <x v="1"/>
    <n v="7"/>
    <x v="6"/>
    <x v="6"/>
    <s v="a"/>
    <s v="主日奉獻"/>
    <s v="Bank of America"/>
    <n v="1778"/>
    <n v="200"/>
  </r>
  <r>
    <d v="2026-02-08T00:00:00"/>
    <x v="1"/>
    <n v="7"/>
    <x v="3"/>
    <x v="3"/>
    <s v="a"/>
    <s v="主日奉獻"/>
    <s v="Bank of America"/>
    <n v="1351"/>
    <n v="100"/>
  </r>
  <r>
    <d v="2026-02-08T00:00:00"/>
    <x v="1"/>
    <n v="7"/>
    <x v="7"/>
    <x v="7"/>
    <s v="a"/>
    <s v="主日奉獻"/>
    <s v="Bank of America"/>
    <n v="5527"/>
    <n v="200"/>
  </r>
  <r>
    <d v="2026-02-08T00:00:00"/>
    <x v="1"/>
    <n v="7"/>
    <x v="10"/>
    <x v="10"/>
    <s v="a"/>
    <s v="主日奉獻"/>
    <s v="Bank of America"/>
    <n v="136"/>
    <n v="100"/>
  </r>
  <r>
    <d v="2026-02-15T00:00:00"/>
    <x v="1"/>
    <n v="8"/>
    <x v="13"/>
    <x v="13"/>
    <s v="a"/>
    <s v="主日奉獻"/>
    <n v="0"/>
    <m/>
    <n v="100"/>
  </r>
  <r>
    <d v="2026-02-15T00:00:00"/>
    <x v="1"/>
    <n v="8"/>
    <x v="5"/>
    <x v="5"/>
    <s v="a"/>
    <s v="主日奉獻"/>
    <m/>
    <m/>
    <n v="100"/>
  </r>
  <r>
    <d v="2026-02-15T00:00:00"/>
    <x v="1"/>
    <n v="8"/>
    <x v="1"/>
    <x v="1"/>
    <s v="a"/>
    <s v="主日奉獻"/>
    <m/>
    <m/>
    <n v="20"/>
  </r>
  <r>
    <d v="2026-02-15T00:00:00"/>
    <x v="1"/>
    <n v="8"/>
    <x v="8"/>
    <x v="14"/>
    <s v="a"/>
    <s v="主日奉獻"/>
    <n v="0"/>
    <m/>
    <n v="7.29"/>
  </r>
  <r>
    <d v="2026-02-15T00:00:00"/>
    <x v="1"/>
    <n v="8"/>
    <x v="2"/>
    <x v="2"/>
    <s v="a"/>
    <s v="主日奉獻"/>
    <n v="0"/>
    <m/>
    <n v="311"/>
  </r>
  <r>
    <d v="2026-02-15T00:00:00"/>
    <x v="1"/>
    <n v="8"/>
    <x v="7"/>
    <x v="7"/>
    <s v="a"/>
    <s v="主日奉獻"/>
    <s v="Bank of America"/>
    <n v="5528"/>
    <n v="200"/>
  </r>
  <r>
    <d v="2026-02-15T00:00:00"/>
    <x v="1"/>
    <n v="8"/>
    <x v="3"/>
    <x v="3"/>
    <s v="a"/>
    <s v="主日奉獻"/>
    <s v="Bank of America"/>
    <n v="1352"/>
    <n v="100"/>
  </r>
  <r>
    <d v="2026-02-22T00:00:00"/>
    <x v="1"/>
    <n v="9"/>
    <x v="5"/>
    <x v="5"/>
    <s v="a"/>
    <s v="主日奉獻"/>
    <m/>
    <m/>
    <n v="100"/>
  </r>
  <r>
    <d v="2026-02-22T00:00:00"/>
    <x v="1"/>
    <n v="9"/>
    <x v="2"/>
    <x v="2"/>
    <s v="a"/>
    <s v="主日奉獻"/>
    <n v="0"/>
    <m/>
    <n v="216"/>
  </r>
  <r>
    <d v="2026-02-22T00:00:00"/>
    <x v="1"/>
    <n v="9"/>
    <x v="6"/>
    <x v="6"/>
    <s v="a"/>
    <s v="主日奉獻"/>
    <s v="Bank of America"/>
    <n v="1779"/>
    <n v="100"/>
  </r>
  <r>
    <d v="2026-02-22T00:00:00"/>
    <x v="1"/>
    <n v="9"/>
    <x v="3"/>
    <x v="3"/>
    <s v="a"/>
    <s v="主日奉獻"/>
    <s v="Bank of America"/>
    <n v="1353"/>
    <n v="100"/>
  </r>
  <r>
    <d v="2026-03-01T00:00:00"/>
    <x v="2"/>
    <n v="10"/>
    <x v="2"/>
    <x v="2"/>
    <s v="a"/>
    <s v="主日奉獻"/>
    <n v="0"/>
    <m/>
    <n v="10"/>
  </r>
  <r>
    <d v="2026-03-01T00:00:00"/>
    <x v="2"/>
    <n v="10"/>
    <x v="7"/>
    <x v="7"/>
    <s v="a"/>
    <s v="主日奉獻"/>
    <s v="Bank of America"/>
    <n v="5529"/>
    <n v="200"/>
  </r>
  <r>
    <d v="2026-03-01T00:00:00"/>
    <x v="2"/>
    <n v="10"/>
    <x v="5"/>
    <x v="5"/>
    <s v="a"/>
    <s v="主日奉獻"/>
    <s v="Bank of America"/>
    <n v="454"/>
    <n v="500"/>
  </r>
  <r>
    <d v="2026-03-01T00:00:00"/>
    <x v="2"/>
    <n v="10"/>
    <x v="14"/>
    <x v="15"/>
    <s v="a"/>
    <s v="主日奉獻"/>
    <s v="Bank of America"/>
    <n v="2620"/>
    <n v="100"/>
  </r>
  <r>
    <d v="2026-03-08T00:00:00"/>
    <x v="2"/>
    <n v="11"/>
    <x v="1"/>
    <x v="1"/>
    <s v="a"/>
    <s v="主日奉獻"/>
    <m/>
    <m/>
    <n v="20"/>
  </r>
  <r>
    <d v="2026-03-08T00:00:00"/>
    <x v="2"/>
    <n v="11"/>
    <x v="2"/>
    <x v="2"/>
    <s v="a"/>
    <s v="主日奉獻"/>
    <n v="0"/>
    <m/>
    <n v="28"/>
  </r>
  <r>
    <d v="2026-03-08T00:00:00"/>
    <x v="2"/>
    <n v="11"/>
    <x v="11"/>
    <x v="11"/>
    <s v="a"/>
    <s v="主日奉獻"/>
    <s v="US Bank"/>
    <n v="9822"/>
    <n v="200"/>
  </r>
  <r>
    <d v="2026-03-08T00:00:00"/>
    <x v="2"/>
    <n v="11"/>
    <x v="7"/>
    <x v="7"/>
    <s v="a"/>
    <s v="主日奉獻"/>
    <s v="Bank of America"/>
    <n v="5530"/>
    <n v="200"/>
  </r>
  <r>
    <d v="2026-03-08T00:00:00"/>
    <x v="2"/>
    <n v="11"/>
    <x v="8"/>
    <x v="16"/>
    <s v="a"/>
    <s v="主日奉獻"/>
    <s v="Wells Fargo"/>
    <n v="144"/>
    <n v="120"/>
  </r>
  <r>
    <d v="2026-03-08T00:00:00"/>
    <x v="2"/>
    <n v="11"/>
    <x v="3"/>
    <x v="3"/>
    <s v="a"/>
    <s v="主日奉獻"/>
    <s v="Bank of America"/>
    <n v="1354"/>
    <n v="100"/>
  </r>
  <r>
    <d v="2026-03-08T00:00:00"/>
    <x v="2"/>
    <n v="11"/>
    <x v="3"/>
    <x v="3"/>
    <s v="a"/>
    <s v="主日奉獻"/>
    <s v="Bank of America"/>
    <n v="1355"/>
    <n v="100"/>
  </r>
  <r>
    <d v="2026-03-15T00:00:00"/>
    <x v="2"/>
    <n v="12"/>
    <x v="12"/>
    <x v="12"/>
    <s v="a"/>
    <s v="主日奉獻"/>
    <m/>
    <m/>
    <n v="100"/>
  </r>
  <r>
    <d v="2026-03-15T00:00:00"/>
    <x v="2"/>
    <n v="12"/>
    <x v="13"/>
    <x v="13"/>
    <s v="a"/>
    <s v="主日奉獻"/>
    <n v="0"/>
    <m/>
    <n v="100"/>
  </r>
  <r>
    <d v="2026-03-15T00:00:00"/>
    <x v="2"/>
    <n v="12"/>
    <x v="4"/>
    <x v="4"/>
    <s v="a"/>
    <s v="主日奉獻"/>
    <n v="0"/>
    <m/>
    <n v="9"/>
  </r>
  <r>
    <d v="2026-03-15T00:00:00"/>
    <x v="2"/>
    <n v="12"/>
    <x v="15"/>
    <x v="17"/>
    <s v="a"/>
    <s v="主日奉獻"/>
    <m/>
    <m/>
    <n v="500"/>
  </r>
  <r>
    <d v="2026-03-15T00:00:00"/>
    <x v="2"/>
    <n v="12"/>
    <x v="16"/>
    <x v="18"/>
    <s v="a"/>
    <s v="主日奉獻"/>
    <m/>
    <m/>
    <n v="200"/>
  </r>
  <r>
    <d v="2026-03-15T00:00:00"/>
    <x v="2"/>
    <n v="12"/>
    <x v="5"/>
    <x v="5"/>
    <s v="a"/>
    <s v="主日奉獻"/>
    <m/>
    <m/>
    <n v="300"/>
  </r>
  <r>
    <d v="2026-03-15T00:00:00"/>
    <x v="2"/>
    <n v="12"/>
    <x v="17"/>
    <x v="19"/>
    <s v="a"/>
    <s v="主日奉獻"/>
    <n v="0"/>
    <m/>
    <n v="100"/>
  </r>
  <r>
    <d v="2026-03-16T00:00:00"/>
    <x v="2"/>
    <n v="12"/>
    <x v="1"/>
    <x v="1"/>
    <s v="a"/>
    <s v="主日奉獻"/>
    <m/>
    <m/>
    <n v="20"/>
  </r>
  <r>
    <d v="2026-03-15T00:00:00"/>
    <x v="2"/>
    <n v="12"/>
    <x v="2"/>
    <x v="2"/>
    <s v="a"/>
    <s v="主日奉獻"/>
    <n v="0"/>
    <m/>
    <n v="65"/>
  </r>
  <r>
    <d v="2026-03-15T00:00:00"/>
    <x v="2"/>
    <n v="12"/>
    <x v="18"/>
    <x v="20"/>
    <s v="a"/>
    <s v="主日奉獻"/>
    <s v="Fidelity"/>
    <n v="16389092"/>
    <n v="1000"/>
  </r>
  <r>
    <d v="2026-03-15T00:00:00"/>
    <x v="2"/>
    <n v="12"/>
    <x v="19"/>
    <x v="21"/>
    <s v="a"/>
    <s v="主日奉獻"/>
    <s v="Bank of America"/>
    <n v="3087"/>
    <n v="200"/>
  </r>
  <r>
    <d v="2026-03-15T00:00:00"/>
    <x v="2"/>
    <n v="12"/>
    <x v="6"/>
    <x v="6"/>
    <s v="a"/>
    <s v="主日奉獻"/>
    <s v="Bank of America"/>
    <n v="1780"/>
    <n v="200"/>
  </r>
  <r>
    <d v="2026-03-15T00:00:00"/>
    <x v="2"/>
    <n v="12"/>
    <x v="7"/>
    <x v="7"/>
    <s v="a"/>
    <s v="主日奉獻"/>
    <s v="Bank of America"/>
    <n v="5531"/>
    <n v="200"/>
  </r>
  <r>
    <d v="2026-03-22T00:00:00"/>
    <x v="2"/>
    <n v="13"/>
    <x v="13"/>
    <x v="13"/>
    <s v="a"/>
    <s v="主日奉獻"/>
    <n v="0"/>
    <m/>
    <n v="100"/>
  </r>
  <r>
    <d v="2026-03-22T00:00:00"/>
    <x v="2"/>
    <n v="13"/>
    <x v="2"/>
    <x v="2"/>
    <s v="a"/>
    <s v="主日奉獻"/>
    <n v="0"/>
    <m/>
    <n v="108"/>
  </r>
  <r>
    <d v="2026-03-22T00:00:00"/>
    <x v="2"/>
    <n v="13"/>
    <x v="19"/>
    <x v="21"/>
    <s v="a"/>
    <s v="主日奉獻"/>
    <s v="Bank of America"/>
    <n v="3088"/>
    <n v="200"/>
  </r>
  <r>
    <d v="2026-03-22T00:00:00"/>
    <x v="2"/>
    <n v="13"/>
    <x v="7"/>
    <x v="7"/>
    <s v="a"/>
    <s v="主日奉獻"/>
    <s v="Bank of America"/>
    <n v="5533"/>
    <n v="200"/>
  </r>
  <r>
    <d v="2026-03-29T00:00:00"/>
    <x v="2"/>
    <n v="14"/>
    <x v="1"/>
    <x v="1"/>
    <s v="a"/>
    <s v="主日奉獻"/>
    <m/>
    <m/>
    <n v="20"/>
  </r>
  <r>
    <d v="2026-03-29T00:00:00"/>
    <x v="2"/>
    <n v="14"/>
    <x v="15"/>
    <x v="17"/>
    <s v="a"/>
    <s v="主日奉獻"/>
    <m/>
    <m/>
    <n v="100"/>
  </r>
  <r>
    <d v="2026-03-29T00:00:00"/>
    <x v="2"/>
    <n v="14"/>
    <x v="17"/>
    <x v="19"/>
    <s v="a"/>
    <s v="主日奉獻"/>
    <n v="0"/>
    <m/>
    <n v="100"/>
  </r>
  <r>
    <d v="2026-03-29T00:00:00"/>
    <x v="2"/>
    <n v="14"/>
    <x v="2"/>
    <x v="2"/>
    <s v="a"/>
    <s v="主日奉獻"/>
    <n v="0"/>
    <m/>
    <n v="29"/>
  </r>
  <r>
    <d v="2026-03-29T00:00:00"/>
    <x v="2"/>
    <n v="14"/>
    <x v="7"/>
    <x v="7"/>
    <s v="a"/>
    <s v="主日奉獻"/>
    <s v="Bank of America"/>
    <n v="5532"/>
    <n v="200"/>
  </r>
  <r>
    <d v="2026-03-29T00:00:00"/>
    <x v="2"/>
    <n v="14"/>
    <x v="11"/>
    <x v="11"/>
    <s v="a"/>
    <s v="主日奉獻"/>
    <s v="US Bank"/>
    <n v="9824"/>
    <n v="200"/>
  </r>
  <r>
    <d v="2026-03-29T00:00:00"/>
    <x v="2"/>
    <n v="14"/>
    <x v="6"/>
    <x v="6"/>
    <s v="a"/>
    <s v="主日奉獻"/>
    <s v="Bank of America"/>
    <n v="1761"/>
    <n v="100"/>
  </r>
  <r>
    <d v="2026-03-29T00:00:00"/>
    <x v="2"/>
    <n v="14"/>
    <x v="20"/>
    <x v="22"/>
    <s v="a"/>
    <s v="主日奉獻"/>
    <s v="Bank of America"/>
    <n v="2621"/>
    <n v="100"/>
  </r>
  <r>
    <d v="2026-04-05T00:00:00"/>
    <x v="3"/>
    <n v="15"/>
    <x v="12"/>
    <x v="12"/>
    <s v="a"/>
    <s v="主日奉獻"/>
    <s v="East West Bank"/>
    <m/>
    <n v="100"/>
  </r>
  <r>
    <d v="2026-04-05T00:00:00"/>
    <x v="3"/>
    <n v="15"/>
    <x v="13"/>
    <x v="13"/>
    <s v="a"/>
    <s v="主日奉獻"/>
    <n v="0"/>
    <m/>
    <n v="100"/>
  </r>
  <r>
    <d v="2026-04-05T00:00:00"/>
    <x v="3"/>
    <n v="15"/>
    <x v="1"/>
    <x v="1"/>
    <s v="a"/>
    <s v="主日奉獻"/>
    <s v="Wells Fargo"/>
    <m/>
    <n v="20"/>
  </r>
  <r>
    <d v="2026-04-05T00:00:00"/>
    <x v="3"/>
    <n v="15"/>
    <x v="2"/>
    <x v="2"/>
    <s v="a"/>
    <s v="主日奉獻"/>
    <n v="0"/>
    <m/>
    <n v="70"/>
  </r>
  <r>
    <d v="2026-04-05T00:00:00"/>
    <x v="3"/>
    <n v="15"/>
    <x v="10"/>
    <x v="10"/>
    <s v="a"/>
    <s v="主日奉獻"/>
    <s v="Bank of America"/>
    <n v="137"/>
    <n v="100"/>
  </r>
  <r>
    <d v="2026-04-05T00:00:00"/>
    <x v="3"/>
    <n v="15"/>
    <x v="7"/>
    <x v="7"/>
    <s v="a"/>
    <s v="主日奉獻"/>
    <s v="Bank of America"/>
    <n v="5534"/>
    <n v="200"/>
  </r>
  <r>
    <d v="2026-04-05T00:00:00"/>
    <x v="3"/>
    <n v="15"/>
    <x v="11"/>
    <x v="11"/>
    <s v="a"/>
    <s v="主日奉獻"/>
    <s v="US Bank"/>
    <n v="9848"/>
    <n v="200"/>
  </r>
  <r>
    <d v="2026-04-05T00:00:00"/>
    <x v="3"/>
    <n v="15"/>
    <x v="19"/>
    <x v="21"/>
    <s v="a"/>
    <s v="主日奉獻"/>
    <s v="Bank of America"/>
    <n v="3089"/>
    <n v="200"/>
  </r>
  <r>
    <d v="2026-04-12T00:00:00"/>
    <x v="3"/>
    <n v="16"/>
    <x v="13"/>
    <x v="13"/>
    <s v="a"/>
    <s v="主日奉獻"/>
    <n v="0"/>
    <m/>
    <n v="100"/>
  </r>
  <r>
    <d v="2026-04-12T00:00:00"/>
    <x v="3"/>
    <n v="16"/>
    <x v="2"/>
    <x v="2"/>
    <s v="a"/>
    <s v="主日奉獻"/>
    <n v="0"/>
    <m/>
    <n v="10"/>
  </r>
  <r>
    <d v="2026-04-12T00:00:00"/>
    <x v="3"/>
    <n v="16"/>
    <x v="6"/>
    <x v="6"/>
    <s v="a"/>
    <s v="主日奉獻"/>
    <s v="Bank of America"/>
    <n v="1781"/>
    <n v="100"/>
  </r>
  <r>
    <d v="2026-04-12T00:00:00"/>
    <x v="3"/>
    <n v="16"/>
    <x v="19"/>
    <x v="21"/>
    <s v="a"/>
    <s v="主日奉獻"/>
    <s v="Bank of America"/>
    <n v="3091"/>
    <n v="200"/>
  </r>
  <r>
    <d v="2026-04-12T00:00:00"/>
    <x v="3"/>
    <n v="16"/>
    <x v="21"/>
    <x v="23"/>
    <s v="a"/>
    <s v="主日奉獻"/>
    <s v="Pacific"/>
    <n v="101"/>
    <n v="100"/>
  </r>
  <r>
    <d v="2026-04-12T00:00:00"/>
    <x v="3"/>
    <n v="16"/>
    <x v="20"/>
    <x v="22"/>
    <s v="a"/>
    <s v="主日奉獻"/>
    <s v="Bank of America"/>
    <n v="2622"/>
    <n v="100"/>
  </r>
  <r>
    <d v="2026-04-12T00:00:00"/>
    <x v="3"/>
    <n v="16"/>
    <x v="5"/>
    <x v="5"/>
    <s v="a"/>
    <s v="主日奉獻"/>
    <s v="East West Bank"/>
    <n v="455"/>
    <n v="500"/>
  </r>
  <r>
    <d v="2026-04-12T00:00:00"/>
    <x v="3"/>
    <n v="16"/>
    <x v="7"/>
    <x v="7"/>
    <s v="a"/>
    <s v="主日奉獻"/>
    <s v="Bank of America"/>
    <n v="5535"/>
    <n v="200"/>
  </r>
  <r>
    <d v="2026-04-19T00:00:00"/>
    <x v="3"/>
    <n v="17"/>
    <x v="1"/>
    <x v="1"/>
    <s v="a"/>
    <s v="主日奉獻"/>
    <m/>
    <m/>
    <n v="20"/>
  </r>
  <r>
    <d v="2026-04-19T00:00:00"/>
    <x v="3"/>
    <n v="17"/>
    <x v="2"/>
    <x v="2"/>
    <s v="a"/>
    <s v="主日奉獻"/>
    <n v="0"/>
    <m/>
    <n v="28"/>
  </r>
  <r>
    <d v="2026-04-19T00:00:00"/>
    <x v="3"/>
    <n v="17"/>
    <x v="7"/>
    <x v="7"/>
    <s v="a"/>
    <s v="主日奉獻"/>
    <s v="Bank of America"/>
    <n v="5537"/>
    <n v="200"/>
  </r>
  <r>
    <d v="2026-04-19T00:00:00"/>
    <x v="3"/>
    <n v="17"/>
    <x v="19"/>
    <x v="21"/>
    <s v="a"/>
    <s v="主日奉獻"/>
    <s v="Bank of America"/>
    <n v="3092"/>
    <n v="200"/>
  </r>
  <r>
    <d v="2026-04-26T00:00:00"/>
    <x v="3"/>
    <n v="18"/>
    <x v="1"/>
    <x v="1"/>
    <s v="a"/>
    <s v="主日奉獻"/>
    <m/>
    <m/>
    <n v="20"/>
  </r>
  <r>
    <d v="2026-04-26T00:00:00"/>
    <x v="3"/>
    <n v="18"/>
    <x v="5"/>
    <x v="5"/>
    <s v="a"/>
    <s v="主日奉獻"/>
    <m/>
    <m/>
    <n v="100"/>
  </r>
  <r>
    <d v="2026-04-26T00:00:00"/>
    <x v="3"/>
    <n v="18"/>
    <x v="2"/>
    <x v="2"/>
    <s v="a"/>
    <s v="主日奉獻"/>
    <n v="0"/>
    <m/>
    <n v="55"/>
  </r>
  <r>
    <d v="2026-04-26T00:00:00"/>
    <x v="3"/>
    <n v="18"/>
    <x v="22"/>
    <x v="24"/>
    <s v="a"/>
    <s v="主日奉獻"/>
    <s v="Fidelity"/>
    <n v="953650192"/>
    <n v="3000"/>
  </r>
  <r>
    <d v="2026-04-26T00:00:00"/>
    <x v="3"/>
    <n v="18"/>
    <x v="7"/>
    <x v="7"/>
    <s v="a"/>
    <s v="主日奉獻"/>
    <s v="Bank of America"/>
    <n v="5538"/>
    <n v="200"/>
  </r>
  <r>
    <d v="2026-05-03T00:00:00"/>
    <x v="4"/>
    <n v="19"/>
    <x v="5"/>
    <x v="5"/>
    <s v="a"/>
    <s v="主日奉獻"/>
    <m/>
    <m/>
    <n v="500"/>
  </r>
  <r>
    <d v="2026-05-03T00:00:00"/>
    <x v="4"/>
    <n v="19"/>
    <x v="12"/>
    <x v="12"/>
    <s v="a"/>
    <s v="主日奉獻"/>
    <m/>
    <m/>
    <n v="100"/>
  </r>
  <r>
    <d v="2026-05-03T00:00:00"/>
    <x v="4"/>
    <n v="19"/>
    <x v="13"/>
    <x v="13"/>
    <s v="a"/>
    <s v="主日奉獻"/>
    <n v="0"/>
    <m/>
    <n v="100"/>
  </r>
  <r>
    <d v="2026-05-03T00:00:00"/>
    <x v="4"/>
    <n v="19"/>
    <x v="2"/>
    <x v="2"/>
    <s v="a"/>
    <s v="主日奉獻"/>
    <n v="0"/>
    <m/>
    <n v="10"/>
  </r>
  <r>
    <d v="2026-05-03T00:00:00"/>
    <x v="4"/>
    <n v="19"/>
    <x v="19"/>
    <x v="21"/>
    <s v="a"/>
    <s v="主日奉獻"/>
    <s v="Bank of America"/>
    <n v="3093"/>
    <n v="200"/>
  </r>
  <r>
    <d v="2026-05-03T00:00:00"/>
    <x v="4"/>
    <n v="19"/>
    <x v="10"/>
    <x v="10"/>
    <s v="a"/>
    <s v="主日奉獻"/>
    <s v="Bank of America"/>
    <n v="138"/>
    <n v="50"/>
  </r>
  <r>
    <d v="2026-05-03T00:00:00"/>
    <x v="4"/>
    <n v="19"/>
    <x v="7"/>
    <x v="7"/>
    <s v="a"/>
    <s v="主日奉獻"/>
    <s v="Bank of America"/>
    <n v="5540"/>
    <n v="200"/>
  </r>
  <r>
    <d v="2026-05-10T00:00:00"/>
    <x v="4"/>
    <n v="20"/>
    <x v="9"/>
    <x v="9"/>
    <s v="a"/>
    <s v="主日奉獻"/>
    <m/>
    <m/>
    <n v="100"/>
  </r>
  <r>
    <d v="2026-05-10T00:00:00"/>
    <x v="4"/>
    <n v="20"/>
    <x v="1"/>
    <x v="1"/>
    <s v="a"/>
    <s v="主日奉獻"/>
    <m/>
    <m/>
    <n v="20"/>
  </r>
  <r>
    <d v="2026-05-10T00:00:00"/>
    <x v="4"/>
    <n v="20"/>
    <x v="2"/>
    <x v="2"/>
    <s v="a"/>
    <s v="主日奉獻"/>
    <n v="0"/>
    <m/>
    <n v="123"/>
  </r>
  <r>
    <d v="2026-05-10T00:00:00"/>
    <x v="4"/>
    <n v="20"/>
    <x v="11"/>
    <x v="11"/>
    <s v="a"/>
    <s v="主日奉獻"/>
    <s v="US Bank"/>
    <n v="9825"/>
    <n v="200"/>
  </r>
  <r>
    <d v="2026-05-10T00:00:00"/>
    <x v="4"/>
    <n v="20"/>
    <x v="3"/>
    <x v="3"/>
    <s v="a"/>
    <s v="主日奉獻"/>
    <s v="Bank of America"/>
    <n v="1356"/>
    <n v="100"/>
  </r>
  <r>
    <d v="2026-05-10T00:00:00"/>
    <x v="4"/>
    <n v="20"/>
    <x v="6"/>
    <x v="6"/>
    <s v="a"/>
    <s v="主日奉獻"/>
    <s v="Bank of America"/>
    <n v="1782"/>
    <n v="100"/>
  </r>
  <r>
    <d v="2026-05-10T00:00:00"/>
    <x v="4"/>
    <n v="20"/>
    <x v="7"/>
    <x v="7"/>
    <s v="a"/>
    <s v="主日奉獻"/>
    <s v="Bank of America"/>
    <n v="5545"/>
    <n v="200"/>
  </r>
  <r>
    <d v="2026-05-17T00:00:00"/>
    <x v="4"/>
    <n v="21"/>
    <x v="4"/>
    <x v="4"/>
    <s v="a"/>
    <s v="主日奉獻"/>
    <n v="0"/>
    <m/>
    <n v="9"/>
  </r>
  <r>
    <d v="2026-05-17T00:00:00"/>
    <x v="4"/>
    <n v="21"/>
    <x v="1"/>
    <x v="1"/>
    <s v="a"/>
    <s v="主日奉獻"/>
    <m/>
    <m/>
    <n v="20"/>
  </r>
  <r>
    <d v="2026-05-17T00:00:00"/>
    <x v="4"/>
    <n v="21"/>
    <x v="8"/>
    <x v="25"/>
    <s v="a"/>
    <s v="主日奉獻"/>
    <n v="0"/>
    <m/>
    <n v="150"/>
  </r>
  <r>
    <d v="2026-05-17T00:00:00"/>
    <x v="4"/>
    <n v="21"/>
    <x v="2"/>
    <x v="2"/>
    <s v="a"/>
    <s v="主日奉獻"/>
    <n v="0"/>
    <m/>
    <n v="112"/>
  </r>
  <r>
    <d v="2026-05-17T00:00:00"/>
    <x v="4"/>
    <n v="21"/>
    <x v="8"/>
    <x v="26"/>
    <s v="a"/>
    <s v="主日奉獻"/>
    <s v="Wells Fargo"/>
    <n v="3129"/>
    <n v="1000"/>
  </r>
  <r>
    <d v="2026-05-17T00:00:00"/>
    <x v="4"/>
    <n v="21"/>
    <x v="5"/>
    <x v="5"/>
    <s v="a"/>
    <s v="主日奉獻"/>
    <s v="East West Bank"/>
    <n v="457"/>
    <n v="200"/>
  </r>
  <r>
    <d v="2026-05-17T00:00:00"/>
    <x v="4"/>
    <n v="21"/>
    <x v="7"/>
    <x v="7"/>
    <s v="a"/>
    <s v="主日奉獻"/>
    <s v="Bank of America"/>
    <n v="5547"/>
    <n v="200"/>
  </r>
  <r>
    <d v="2026-05-17T00:00:00"/>
    <x v="4"/>
    <n v="21"/>
    <x v="3"/>
    <x v="3"/>
    <s v="a"/>
    <s v="主日奉獻"/>
    <s v="Bank of America"/>
    <n v="1357"/>
    <n v="100"/>
  </r>
  <r>
    <d v="2026-05-24T00:00:00"/>
    <x v="4"/>
    <n v="22"/>
    <x v="23"/>
    <x v="27"/>
    <s v="a"/>
    <s v="主日奉獻"/>
    <m/>
    <m/>
    <n v="100"/>
  </r>
  <r>
    <d v="2026-05-24T00:00:00"/>
    <x v="4"/>
    <n v="22"/>
    <x v="13"/>
    <x v="13"/>
    <s v="a"/>
    <s v="主日奉獻"/>
    <n v="0"/>
    <m/>
    <n v="100"/>
  </r>
  <r>
    <d v="2026-05-24T00:00:00"/>
    <x v="4"/>
    <n v="22"/>
    <x v="17"/>
    <x v="19"/>
    <s v="a"/>
    <s v="主日奉獻"/>
    <n v="0"/>
    <m/>
    <n v="50"/>
  </r>
  <r>
    <d v="2026-05-24T00:00:00"/>
    <x v="4"/>
    <n v="22"/>
    <x v="2"/>
    <x v="2"/>
    <s v="a"/>
    <s v="主日奉獻"/>
    <n v="0"/>
    <m/>
    <n v="12"/>
  </r>
  <r>
    <d v="2026-05-24T00:00:00"/>
    <x v="4"/>
    <n v="22"/>
    <x v="6"/>
    <x v="6"/>
    <s v="a"/>
    <s v="主日奉獻"/>
    <s v="Bank of America"/>
    <n v="1783"/>
    <n v="100"/>
  </r>
  <r>
    <d v="2026-05-24T00:00:00"/>
    <x v="4"/>
    <n v="22"/>
    <x v="3"/>
    <x v="3"/>
    <s v="a"/>
    <s v="主日奉獻"/>
    <s v="Bank of America"/>
    <n v="1358"/>
    <n v="100"/>
  </r>
  <r>
    <d v="2026-05-24T00:00:00"/>
    <x v="4"/>
    <n v="22"/>
    <x v="7"/>
    <x v="7"/>
    <s v="a"/>
    <s v="主日奉獻"/>
    <s v="Bank of America"/>
    <n v="5546"/>
    <n v="200"/>
  </r>
  <r>
    <d v="2026-05-31T00:00:00"/>
    <x v="4"/>
    <n v="23"/>
    <x v="2"/>
    <x v="2"/>
    <s v="a"/>
    <s v="主日奉獻"/>
    <n v="0"/>
    <m/>
    <n v="44"/>
  </r>
  <r>
    <d v="2026-05-31T00:00:00"/>
    <x v="4"/>
    <n v="23"/>
    <x v="20"/>
    <x v="22"/>
    <s v="a"/>
    <s v="主日奉獻"/>
    <s v="Bank of America"/>
    <n v="2623"/>
    <n v="100"/>
  </r>
  <r>
    <d v="2026-05-31T00:00:00"/>
    <x v="4"/>
    <n v="23"/>
    <x v="7"/>
    <x v="7"/>
    <s v="a"/>
    <s v="主日奉獻"/>
    <s v="Bank of America"/>
    <n v="5548"/>
    <n v="200"/>
  </r>
  <r>
    <d v="2026-05-31T00:00:00"/>
    <x v="4"/>
    <n v="23"/>
    <x v="19"/>
    <x v="21"/>
    <s v="a"/>
    <s v="主日奉獻"/>
    <s v="Bank of America"/>
    <n v="3095"/>
    <n v="200"/>
  </r>
  <r>
    <d v="2026-05-31T00:00:00"/>
    <x v="4"/>
    <n v="23"/>
    <x v="3"/>
    <x v="3"/>
    <s v="a"/>
    <s v="主日奉獻"/>
    <s v="Bank of America"/>
    <n v="1359"/>
    <n v="200"/>
  </r>
  <r>
    <d v="2026-06-07T00:00:00"/>
    <x v="5"/>
    <n v="24"/>
    <x v="17"/>
    <x v="19"/>
    <s v="a"/>
    <s v="主日奉獻"/>
    <n v="0"/>
    <m/>
    <n v="200"/>
  </r>
  <r>
    <d v="2026-06-07T00:00:00"/>
    <x v="5"/>
    <n v="24"/>
    <x v="5"/>
    <x v="5"/>
    <s v="a"/>
    <s v="主日奉獻"/>
    <m/>
    <m/>
    <n v="300"/>
  </r>
  <r>
    <d v="2026-06-07T00:00:00"/>
    <x v="5"/>
    <n v="24"/>
    <x v="13"/>
    <x v="13"/>
    <s v="a"/>
    <s v="主日奉獻"/>
    <n v="0"/>
    <m/>
    <n v="100"/>
  </r>
  <r>
    <d v="2026-06-07T00:00:00"/>
    <x v="5"/>
    <n v="24"/>
    <x v="1"/>
    <x v="1"/>
    <s v="a"/>
    <s v="主日奉獻"/>
    <m/>
    <m/>
    <n v="20"/>
  </r>
  <r>
    <d v="2026-06-07T00:00:00"/>
    <x v="5"/>
    <n v="24"/>
    <x v="2"/>
    <x v="2"/>
    <s v="a"/>
    <s v="主日奉獻"/>
    <n v="0"/>
    <m/>
    <n v="22"/>
  </r>
  <r>
    <d v="2026-06-07T00:00:00"/>
    <x v="5"/>
    <n v="24"/>
    <x v="7"/>
    <x v="7"/>
    <s v="a"/>
    <s v="主日奉獻"/>
    <s v="Bank of America"/>
    <n v="5549"/>
    <n v="200"/>
  </r>
  <r>
    <d v="2026-06-07T00:00:00"/>
    <x v="5"/>
    <n v="24"/>
    <x v="3"/>
    <x v="3"/>
    <s v="a"/>
    <s v="主日奉獻"/>
    <s v="Bank of America"/>
    <n v="1360"/>
    <n v="100"/>
  </r>
  <r>
    <d v="2026-06-07T00:00:00"/>
    <x v="5"/>
    <n v="24"/>
    <x v="10"/>
    <x v="10"/>
    <s v="a"/>
    <s v="主日奉獻"/>
    <s v="Bank of America"/>
    <n v="139"/>
    <n v="100"/>
  </r>
  <r>
    <d v="2026-06-14T00:00:00"/>
    <x v="5"/>
    <n v="25"/>
    <x v="15"/>
    <x v="17"/>
    <s v="a"/>
    <s v="主日奉獻"/>
    <m/>
    <m/>
    <n v="200"/>
  </r>
  <r>
    <d v="2026-06-14T00:00:00"/>
    <x v="5"/>
    <n v="25"/>
    <x v="5"/>
    <x v="5"/>
    <s v="a"/>
    <s v="主日奉獻"/>
    <m/>
    <m/>
    <n v="200"/>
  </r>
  <r>
    <d v="2026-06-14T00:00:00"/>
    <x v="5"/>
    <n v="25"/>
    <x v="1"/>
    <x v="1"/>
    <s v="a"/>
    <s v="主日奉獻"/>
    <m/>
    <m/>
    <n v="20"/>
  </r>
  <r>
    <d v="2026-06-14T00:00:00"/>
    <x v="5"/>
    <n v="25"/>
    <x v="12"/>
    <x v="12"/>
    <s v="a"/>
    <s v="主日奉獻"/>
    <s v="East West Bank"/>
    <m/>
    <n v="200"/>
  </r>
  <r>
    <d v="2026-06-14T00:00:00"/>
    <x v="5"/>
    <n v="25"/>
    <x v="2"/>
    <x v="2"/>
    <s v="a"/>
    <s v="主日奉獻"/>
    <n v="0"/>
    <m/>
    <n v="23"/>
  </r>
  <r>
    <d v="2026-06-14T00:00:00"/>
    <x v="5"/>
    <n v="25"/>
    <x v="18"/>
    <x v="20"/>
    <s v="a"/>
    <s v="主日奉獻"/>
    <s v="Fidelity"/>
    <n v="16585077"/>
    <n v="1000"/>
  </r>
  <r>
    <d v="2026-06-14T00:00:00"/>
    <x v="5"/>
    <n v="25"/>
    <x v="19"/>
    <x v="21"/>
    <s v="a"/>
    <s v="主日奉獻"/>
    <s v="Bank of America"/>
    <n v="3096"/>
    <n v="200"/>
  </r>
  <r>
    <d v="2026-06-14T00:00:00"/>
    <x v="5"/>
    <n v="25"/>
    <x v="11"/>
    <x v="11"/>
    <s v="a"/>
    <s v="主日奉獻"/>
    <s v="US Bank"/>
    <n v="9850"/>
    <n v="200"/>
  </r>
  <r>
    <d v="2026-06-14T00:00:00"/>
    <x v="5"/>
    <n v="25"/>
    <x v="7"/>
    <x v="7"/>
    <s v="a"/>
    <s v="主日奉獻"/>
    <s v="Bank of America"/>
    <n v="5550"/>
    <n v="200"/>
  </r>
  <r>
    <d v="2026-06-14T00:00:00"/>
    <x v="5"/>
    <n v="25"/>
    <x v="23"/>
    <x v="27"/>
    <s v="a"/>
    <s v="主日奉獻"/>
    <s v="Wells Fargo"/>
    <n v="354"/>
    <n v="500"/>
  </r>
  <r>
    <d v="2026-06-21T00:00:00"/>
    <x v="5"/>
    <n v="26"/>
    <x v="8"/>
    <x v="28"/>
    <s v="a"/>
    <s v="主日奉獻"/>
    <m/>
    <m/>
    <n v="65"/>
  </r>
  <r>
    <d v="2026-06-21T00:00:00"/>
    <x v="5"/>
    <n v="26"/>
    <x v="5"/>
    <x v="5"/>
    <s v="a"/>
    <s v="主日奉獻"/>
    <m/>
    <m/>
    <n v="200"/>
  </r>
  <r>
    <d v="2026-06-21T00:00:00"/>
    <x v="5"/>
    <n v="26"/>
    <x v="2"/>
    <x v="2"/>
    <s v="a"/>
    <s v="主日奉獻"/>
    <n v="0"/>
    <m/>
    <n v="19.8"/>
  </r>
  <r>
    <d v="2026-06-21T00:00:00"/>
    <x v="5"/>
    <n v="26"/>
    <x v="3"/>
    <x v="3"/>
    <s v="a"/>
    <s v="主日奉獻"/>
    <s v="Bank of America"/>
    <n v="1362"/>
    <n v="200"/>
  </r>
  <r>
    <d v="2026-06-21T00:00:00"/>
    <x v="5"/>
    <n v="26"/>
    <x v="6"/>
    <x v="6"/>
    <s v="a"/>
    <s v="主日奉獻"/>
    <s v="Bank of America"/>
    <n v="1785"/>
    <n v="100"/>
  </r>
  <r>
    <d v="2026-06-21T00:00:00"/>
    <x v="5"/>
    <n v="26"/>
    <x v="16"/>
    <x v="18"/>
    <s v="a"/>
    <s v="主日奉獻"/>
    <s v="First Tech"/>
    <n v="1512"/>
    <n v="100"/>
  </r>
  <r>
    <d v="2026-06-21T00:00:00"/>
    <x v="5"/>
    <n v="26"/>
    <x v="11"/>
    <x v="11"/>
    <s v="a"/>
    <s v="主日奉獻"/>
    <s v="US Bank"/>
    <n v="9828"/>
    <n v="100"/>
  </r>
  <r>
    <d v="2026-06-21T00:00:00"/>
    <x v="5"/>
    <n v="26"/>
    <x v="6"/>
    <x v="6"/>
    <s v="a"/>
    <s v="主日奉獻"/>
    <s v="Bank of America"/>
    <n v="1784"/>
    <n v="100"/>
  </r>
  <r>
    <d v="2026-06-28T00:00:00"/>
    <x v="5"/>
    <n v="27"/>
    <x v="1"/>
    <x v="1"/>
    <s v="a"/>
    <s v="主日奉獻"/>
    <m/>
    <m/>
    <n v="20"/>
  </r>
  <r>
    <d v="2026-06-28T00:00:00"/>
    <x v="5"/>
    <n v="27"/>
    <x v="15"/>
    <x v="17"/>
    <s v="a"/>
    <s v="主日奉獻"/>
    <m/>
    <m/>
    <n v="100"/>
  </r>
  <r>
    <d v="2026-06-28T00:00:00"/>
    <x v="5"/>
    <n v="27"/>
    <x v="2"/>
    <x v="2"/>
    <s v="a"/>
    <s v="主日奉獻"/>
    <n v="0"/>
    <m/>
    <n v="15"/>
  </r>
  <r>
    <d v="2026-06-28T00:00:00"/>
    <x v="5"/>
    <n v="27"/>
    <x v="24"/>
    <x v="29"/>
    <s v="a"/>
    <s v="主日奉獻"/>
    <s v="Charles Schwab"/>
    <n v="175"/>
    <n v="1000"/>
  </r>
  <r>
    <d v="2026-06-28T00:00:00"/>
    <x v="5"/>
    <n v="27"/>
    <x v="19"/>
    <x v="21"/>
    <s v="a"/>
    <s v="主日奉獻"/>
    <s v="Bank of America"/>
    <n v="3100"/>
    <n v="200"/>
  </r>
  <r>
    <d v="2026-06-28T00:00:00"/>
    <x v="5"/>
    <n v="27"/>
    <x v="11"/>
    <x v="11"/>
    <s v="a"/>
    <s v="主日奉獻"/>
    <s v="US Bank"/>
    <n v="9829"/>
    <n v="100"/>
  </r>
  <r>
    <d v="2026-06-28T00:00:00"/>
    <x v="5"/>
    <n v="27"/>
    <x v="6"/>
    <x v="6"/>
    <s v="a"/>
    <s v="主日奉獻"/>
    <s v="Bank of America"/>
    <n v="1786"/>
    <n v="100"/>
  </r>
  <r>
    <d v="2026-06-28T00:00:00"/>
    <x v="5"/>
    <n v="27"/>
    <x v="25"/>
    <x v="30"/>
    <s v="a"/>
    <s v="主日奉獻"/>
    <e v="#N/A"/>
    <m/>
    <m/>
  </r>
  <r>
    <d v="2026-06-28T00:00:00"/>
    <x v="5"/>
    <n v="27"/>
    <x v="25"/>
    <x v="30"/>
    <s v="a"/>
    <s v="主日奉獻"/>
    <e v="#N/A"/>
    <m/>
    <m/>
  </r>
  <r>
    <d v="2026-06-28T00:00:00"/>
    <x v="5"/>
    <n v="27"/>
    <x v="25"/>
    <x v="30"/>
    <s v="a"/>
    <s v="主日奉獻"/>
    <e v="#N/A"/>
    <m/>
    <m/>
  </r>
  <r>
    <d v="2026-06-28T00:00:00"/>
    <x v="5"/>
    <n v="27"/>
    <x v="25"/>
    <x v="30"/>
    <s v="a"/>
    <s v="主日奉獻"/>
    <e v="#N/A"/>
    <m/>
    <m/>
  </r>
  <r>
    <d v="2026-06-28T00:00:00"/>
    <x v="5"/>
    <n v="27"/>
    <x v="25"/>
    <x v="30"/>
    <s v="a"/>
    <s v="主日奉獻"/>
    <e v="#N/A"/>
    <m/>
    <m/>
  </r>
  <r>
    <d v="2026-06-28T00:00:00"/>
    <x v="5"/>
    <n v="27"/>
    <x v="25"/>
    <x v="30"/>
    <s v="a"/>
    <s v="主日奉獻"/>
    <e v="#N/A"/>
    <m/>
    <m/>
  </r>
  <r>
    <d v="2026-07-13T00:00:00"/>
    <x v="6"/>
    <n v="29"/>
    <x v="25"/>
    <x v="30"/>
    <s v="a"/>
    <s v="主日奉獻"/>
    <e v="#N/A"/>
    <m/>
    <m/>
  </r>
  <r>
    <d v="2026-07-20T00:00:00"/>
    <x v="6"/>
    <n v="30"/>
    <x v="25"/>
    <x v="30"/>
    <s v="a"/>
    <s v="主日奉獻"/>
    <e v="#N/A"/>
    <m/>
    <m/>
  </r>
  <r>
    <d v="2026-07-20T00:00:00"/>
    <x v="6"/>
    <n v="30"/>
    <x v="25"/>
    <x v="30"/>
    <s v="a"/>
    <s v="主日奉獻"/>
    <e v="#N/A"/>
    <m/>
    <m/>
  </r>
  <r>
    <d v="2026-07-20T00:00:00"/>
    <x v="6"/>
    <n v="30"/>
    <x v="25"/>
    <x v="30"/>
    <s v="a"/>
    <s v="主日奉獻"/>
    <e v="#N/A"/>
    <m/>
    <m/>
  </r>
  <r>
    <d v="2026-07-20T00:00:00"/>
    <x v="6"/>
    <n v="30"/>
    <x v="25"/>
    <x v="30"/>
    <s v="a"/>
    <s v="主日奉獻"/>
    <e v="#N/A"/>
    <m/>
    <m/>
  </r>
  <r>
    <d v="2026-07-20T00:00:00"/>
    <x v="6"/>
    <n v="30"/>
    <x v="25"/>
    <x v="30"/>
    <s v="a"/>
    <s v="主日奉獻"/>
    <e v="#N/A"/>
    <m/>
    <m/>
  </r>
  <r>
    <d v="2026-07-20T00:00:00"/>
    <x v="6"/>
    <n v="30"/>
    <x v="25"/>
    <x v="30"/>
    <s v="a"/>
    <s v="主日奉獻"/>
    <e v="#N/A"/>
    <m/>
    <m/>
  </r>
  <r>
    <d v="2026-07-20T00:00:00"/>
    <x v="6"/>
    <n v="30"/>
    <x v="25"/>
    <x v="30"/>
    <s v="a"/>
    <s v="主日奉獻"/>
    <e v="#N/A"/>
    <m/>
    <m/>
  </r>
  <r>
    <d v="2026-07-27T00:00:00"/>
    <x v="6"/>
    <n v="31"/>
    <x v="25"/>
    <x v="30"/>
    <s v="a"/>
    <s v="主日奉獻"/>
    <e v="#N/A"/>
    <m/>
    <m/>
  </r>
  <r>
    <d v="2026-07-27T00:00:00"/>
    <x v="6"/>
    <n v="31"/>
    <x v="25"/>
    <x v="30"/>
    <s v="a"/>
    <s v="主日奉獻"/>
    <e v="#N/A"/>
    <m/>
    <m/>
  </r>
  <r>
    <d v="2026-07-27T00:00:00"/>
    <x v="6"/>
    <n v="31"/>
    <x v="25"/>
    <x v="30"/>
    <s v="a"/>
    <s v="主日奉獻"/>
    <e v="#N/A"/>
    <m/>
    <m/>
  </r>
  <r>
    <d v="2026-07-27T00:00:00"/>
    <x v="6"/>
    <n v="31"/>
    <x v="25"/>
    <x v="30"/>
    <s v="a"/>
    <s v="主日奉獻"/>
    <e v="#N/A"/>
    <m/>
    <m/>
  </r>
  <r>
    <d v="2026-07-27T00:00:00"/>
    <x v="6"/>
    <n v="31"/>
    <x v="25"/>
    <x v="30"/>
    <s v="a"/>
    <s v="主日奉獻"/>
    <e v="#N/A"/>
    <m/>
    <m/>
  </r>
  <r>
    <d v="2026-08-03T00:00:00"/>
    <x v="7"/>
    <n v="32"/>
    <x v="25"/>
    <x v="30"/>
    <s v="a"/>
    <s v="主日奉獻"/>
    <e v="#N/A"/>
    <m/>
    <m/>
  </r>
  <r>
    <d v="2026-08-03T00:00:00"/>
    <x v="7"/>
    <n v="32"/>
    <x v="25"/>
    <x v="30"/>
    <s v="a"/>
    <s v="主日奉獻"/>
    <e v="#N/A"/>
    <m/>
    <m/>
  </r>
  <r>
    <d v="2026-08-03T00:00:00"/>
    <x v="7"/>
    <n v="32"/>
    <x v="25"/>
    <x v="30"/>
    <s v="a"/>
    <s v="主日奉獻"/>
    <e v="#N/A"/>
    <m/>
    <m/>
  </r>
  <r>
    <d v="2026-08-03T00:00:00"/>
    <x v="7"/>
    <n v="32"/>
    <x v="25"/>
    <x v="30"/>
    <s v="a"/>
    <s v="主日奉獻"/>
    <e v="#N/A"/>
    <m/>
    <m/>
  </r>
  <r>
    <d v="2026-08-03T00:00:00"/>
    <x v="7"/>
    <n v="32"/>
    <x v="25"/>
    <x v="30"/>
    <s v="a"/>
    <s v="主日奉獻"/>
    <e v="#N/A"/>
    <m/>
    <m/>
  </r>
  <r>
    <d v="2026-08-03T00:00:00"/>
    <x v="7"/>
    <n v="32"/>
    <x v="25"/>
    <x v="30"/>
    <s v="a"/>
    <s v="主日奉獻"/>
    <e v="#N/A"/>
    <m/>
    <m/>
  </r>
  <r>
    <d v="2026-08-03T00:00:00"/>
    <x v="7"/>
    <n v="32"/>
    <x v="25"/>
    <x v="30"/>
    <s v="a"/>
    <s v="主日奉獻"/>
    <e v="#N/A"/>
    <m/>
    <m/>
  </r>
  <r>
    <d v="2026-08-03T00:00:00"/>
    <x v="7"/>
    <n v="32"/>
    <x v="25"/>
    <x v="30"/>
    <s v="a"/>
    <s v="主日奉獻"/>
    <e v="#N/A"/>
    <m/>
    <m/>
  </r>
  <r>
    <d v="2026-08-03T00:00:00"/>
    <x v="7"/>
    <n v="32"/>
    <x v="25"/>
    <x v="30"/>
    <s v="a"/>
    <s v="主日奉獻"/>
    <e v="#N/A"/>
    <m/>
    <m/>
  </r>
  <r>
    <d v="2026-08-03T00:00:00"/>
    <x v="7"/>
    <n v="32"/>
    <x v="25"/>
    <x v="30"/>
    <s v="a"/>
    <s v="主日奉獻"/>
    <e v="#N/A"/>
    <m/>
    <m/>
  </r>
  <r>
    <d v="2026-08-10T00:00:00"/>
    <x v="7"/>
    <n v="33"/>
    <x v="25"/>
    <x v="30"/>
    <s v="a"/>
    <s v="主日奉獻"/>
    <e v="#N/A"/>
    <m/>
    <m/>
  </r>
  <r>
    <d v="2026-08-10T00:00:00"/>
    <x v="7"/>
    <n v="33"/>
    <x v="25"/>
    <x v="30"/>
    <s v="a"/>
    <s v="主日奉獻"/>
    <e v="#N/A"/>
    <m/>
    <m/>
  </r>
  <r>
    <d v="2026-08-10T00:00:00"/>
    <x v="7"/>
    <n v="33"/>
    <x v="25"/>
    <x v="30"/>
    <s v="a"/>
    <s v="主日奉獻"/>
    <e v="#N/A"/>
    <m/>
    <m/>
  </r>
  <r>
    <d v="2026-08-17T00:00:00"/>
    <x v="7"/>
    <n v="34"/>
    <x v="25"/>
    <x v="30"/>
    <s v="a"/>
    <s v="主日奉獻"/>
    <e v="#N/A"/>
    <m/>
    <m/>
  </r>
  <r>
    <d v="2026-08-17T00:00:00"/>
    <x v="7"/>
    <n v="34"/>
    <x v="25"/>
    <x v="30"/>
    <s v="a"/>
    <s v="主日奉獻"/>
    <e v="#N/A"/>
    <m/>
    <m/>
  </r>
  <r>
    <d v="2026-08-17T00:00:00"/>
    <x v="7"/>
    <n v="34"/>
    <x v="25"/>
    <x v="30"/>
    <s v="a"/>
    <s v="主日奉獻"/>
    <e v="#N/A"/>
    <m/>
    <m/>
  </r>
  <r>
    <d v="2026-08-17T00:00:00"/>
    <x v="7"/>
    <n v="34"/>
    <x v="25"/>
    <x v="30"/>
    <s v="a"/>
    <s v="主日奉獻"/>
    <e v="#N/A"/>
    <m/>
    <m/>
  </r>
  <r>
    <d v="2026-08-17T00:00:00"/>
    <x v="7"/>
    <n v="34"/>
    <x v="25"/>
    <x v="30"/>
    <s v="a"/>
    <s v="主日奉獻"/>
    <e v="#N/A"/>
    <m/>
    <m/>
  </r>
  <r>
    <d v="2026-08-17T00:00:00"/>
    <x v="7"/>
    <n v="34"/>
    <x v="25"/>
    <x v="30"/>
    <s v="a"/>
    <s v="主日奉獻"/>
    <e v="#N/A"/>
    <m/>
    <m/>
  </r>
  <r>
    <d v="2026-08-24T00:00:00"/>
    <x v="7"/>
    <n v="35"/>
    <x v="25"/>
    <x v="30"/>
    <s v="a"/>
    <s v="主日奉獻"/>
    <e v="#N/A"/>
    <m/>
    <m/>
  </r>
  <r>
    <d v="2026-08-24T00:00:00"/>
    <x v="7"/>
    <n v="35"/>
    <x v="25"/>
    <x v="30"/>
    <s v="a"/>
    <s v="主日奉獻"/>
    <e v="#N/A"/>
    <m/>
    <m/>
  </r>
  <r>
    <d v="2026-08-24T00:00:00"/>
    <x v="7"/>
    <n v="35"/>
    <x v="25"/>
    <x v="30"/>
    <s v="a"/>
    <s v="主日奉獻"/>
    <e v="#N/A"/>
    <m/>
    <m/>
  </r>
  <r>
    <d v="2026-08-24T00:00:00"/>
    <x v="7"/>
    <n v="35"/>
    <x v="25"/>
    <x v="30"/>
    <s v="a"/>
    <s v="主日奉獻"/>
    <e v="#N/A"/>
    <m/>
    <m/>
  </r>
  <r>
    <d v="2026-08-24T00:00:00"/>
    <x v="7"/>
    <n v="35"/>
    <x v="25"/>
    <x v="30"/>
    <s v="a"/>
    <s v="主日奉獻"/>
    <e v="#N/A"/>
    <m/>
    <m/>
  </r>
  <r>
    <d v="2026-08-24T00:00:00"/>
    <x v="7"/>
    <n v="35"/>
    <x v="25"/>
    <x v="30"/>
    <s v="a"/>
    <s v="主日奉獻"/>
    <e v="#N/A"/>
    <m/>
    <m/>
  </r>
  <r>
    <d v="2026-08-31T00:00:00"/>
    <x v="7"/>
    <n v="36"/>
    <x v="25"/>
    <x v="30"/>
    <s v="a"/>
    <s v="主日奉獻"/>
    <e v="#N/A"/>
    <m/>
    <m/>
  </r>
  <r>
    <d v="2026-08-31T00:00:00"/>
    <x v="7"/>
    <n v="36"/>
    <x v="25"/>
    <x v="30"/>
    <s v="a"/>
    <s v="主日奉獻"/>
    <e v="#N/A"/>
    <m/>
    <m/>
  </r>
  <r>
    <d v="2026-08-31T00:00:00"/>
    <x v="7"/>
    <n v="36"/>
    <x v="25"/>
    <x v="30"/>
    <s v="a"/>
    <s v="主日奉獻"/>
    <e v="#N/A"/>
    <m/>
    <m/>
  </r>
  <r>
    <d v="2026-08-31T00:00:00"/>
    <x v="7"/>
    <n v="36"/>
    <x v="25"/>
    <x v="30"/>
    <s v="a"/>
    <s v="主日奉獻"/>
    <e v="#N/A"/>
    <m/>
    <m/>
  </r>
  <r>
    <d v="2026-08-31T00:00:00"/>
    <x v="7"/>
    <n v="36"/>
    <x v="25"/>
    <x v="30"/>
    <s v="a"/>
    <s v="主日奉獻"/>
    <e v="#N/A"/>
    <m/>
    <m/>
  </r>
  <r>
    <d v="2026-08-31T00:00:00"/>
    <x v="7"/>
    <n v="36"/>
    <x v="25"/>
    <x v="30"/>
    <s v="a"/>
    <s v="主日奉獻"/>
    <e v="#N/A"/>
    <m/>
    <m/>
  </r>
  <r>
    <d v="2026-09-07T00:00:00"/>
    <x v="8"/>
    <n v="37"/>
    <x v="25"/>
    <x v="30"/>
    <s v="a"/>
    <s v="主日奉獻"/>
    <e v="#N/A"/>
    <m/>
    <m/>
  </r>
  <r>
    <d v="2026-09-07T00:00:00"/>
    <x v="8"/>
    <n v="37"/>
    <x v="25"/>
    <x v="30"/>
    <s v="a"/>
    <s v="主日奉獻"/>
    <e v="#N/A"/>
    <m/>
    <m/>
  </r>
  <r>
    <d v="2026-09-07T00:00:00"/>
    <x v="8"/>
    <n v="37"/>
    <x v="25"/>
    <x v="30"/>
    <s v="a"/>
    <s v="主日奉獻"/>
    <e v="#N/A"/>
    <m/>
    <m/>
  </r>
  <r>
    <d v="2026-09-07T00:00:00"/>
    <x v="8"/>
    <n v="37"/>
    <x v="25"/>
    <x v="30"/>
    <s v="a"/>
    <s v="主日奉獻"/>
    <e v="#N/A"/>
    <m/>
    <m/>
  </r>
  <r>
    <d v="2026-09-07T00:00:00"/>
    <x v="8"/>
    <n v="37"/>
    <x v="25"/>
    <x v="30"/>
    <s v="a"/>
    <s v="主日奉獻"/>
    <e v="#N/A"/>
    <m/>
    <m/>
  </r>
  <r>
    <d v="2026-09-07T00:00:00"/>
    <x v="8"/>
    <n v="37"/>
    <x v="25"/>
    <x v="30"/>
    <s v="a"/>
    <s v="主日奉獻"/>
    <e v="#N/A"/>
    <m/>
    <m/>
  </r>
  <r>
    <d v="2026-09-07T00:00:00"/>
    <x v="8"/>
    <n v="37"/>
    <x v="25"/>
    <x v="30"/>
    <s v="a"/>
    <s v="主日奉獻"/>
    <e v="#N/A"/>
    <m/>
    <m/>
  </r>
  <r>
    <d v="2026-09-07T00:00:00"/>
    <x v="8"/>
    <n v="37"/>
    <x v="25"/>
    <x v="30"/>
    <s v="a"/>
    <s v="主日奉獻"/>
    <e v="#N/A"/>
    <m/>
    <m/>
  </r>
  <r>
    <d v="2026-09-14T00:00:00"/>
    <x v="8"/>
    <n v="38"/>
    <x v="25"/>
    <x v="30"/>
    <s v="a"/>
    <s v="主日奉獻"/>
    <e v="#N/A"/>
    <m/>
    <m/>
  </r>
  <r>
    <d v="2026-09-14T00:00:00"/>
    <x v="8"/>
    <n v="38"/>
    <x v="25"/>
    <x v="30"/>
    <s v="a"/>
    <s v="主日奉獻"/>
    <e v="#N/A"/>
    <m/>
    <m/>
  </r>
  <r>
    <d v="2026-09-14T00:00:00"/>
    <x v="8"/>
    <n v="38"/>
    <x v="25"/>
    <x v="30"/>
    <s v="a"/>
    <s v="主日奉獻"/>
    <e v="#N/A"/>
    <m/>
    <m/>
  </r>
  <r>
    <d v="2026-09-14T00:00:00"/>
    <x v="8"/>
    <n v="38"/>
    <x v="25"/>
    <x v="30"/>
    <s v="a"/>
    <s v="主日奉獻"/>
    <e v="#N/A"/>
    <m/>
    <m/>
  </r>
  <r>
    <d v="2026-09-14T00:00:00"/>
    <x v="8"/>
    <n v="38"/>
    <x v="25"/>
    <x v="30"/>
    <s v="a"/>
    <s v="主日奉獻"/>
    <e v="#N/A"/>
    <m/>
    <m/>
  </r>
  <r>
    <d v="2026-09-14T00:00:00"/>
    <x v="8"/>
    <n v="38"/>
    <x v="25"/>
    <x v="30"/>
    <s v="a"/>
    <s v="主日奉獻"/>
    <e v="#N/A"/>
    <m/>
    <m/>
  </r>
  <r>
    <d v="2026-09-21T00:00:00"/>
    <x v="8"/>
    <n v="39"/>
    <x v="25"/>
    <x v="30"/>
    <s v="a"/>
    <s v="主日奉獻"/>
    <e v="#N/A"/>
    <m/>
    <m/>
  </r>
  <r>
    <d v="2026-09-21T00:00:00"/>
    <x v="8"/>
    <n v="39"/>
    <x v="25"/>
    <x v="30"/>
    <s v="a"/>
    <s v="主日奉獻"/>
    <e v="#N/A"/>
    <m/>
    <m/>
  </r>
  <r>
    <d v="2026-09-21T00:00:00"/>
    <x v="8"/>
    <n v="39"/>
    <x v="25"/>
    <x v="30"/>
    <s v="a"/>
    <s v="主日奉獻"/>
    <e v="#N/A"/>
    <m/>
    <m/>
  </r>
  <r>
    <d v="2026-09-21T00:00:00"/>
    <x v="8"/>
    <n v="39"/>
    <x v="25"/>
    <x v="30"/>
    <s v="a"/>
    <s v="主日奉獻"/>
    <e v="#N/A"/>
    <m/>
    <m/>
  </r>
  <r>
    <d v="2026-09-21T00:00:00"/>
    <x v="8"/>
    <n v="39"/>
    <x v="25"/>
    <x v="30"/>
    <s v="a"/>
    <s v="主日奉獻"/>
    <e v="#N/A"/>
    <m/>
    <m/>
  </r>
  <r>
    <d v="2026-09-21T00:00:00"/>
    <x v="8"/>
    <n v="39"/>
    <x v="25"/>
    <x v="30"/>
    <s v="a"/>
    <s v="主日奉獻"/>
    <e v="#N/A"/>
    <m/>
    <m/>
  </r>
  <r>
    <d v="2026-09-21T00:00:00"/>
    <x v="8"/>
    <n v="39"/>
    <x v="25"/>
    <x v="30"/>
    <s v="a"/>
    <s v="主日奉獻"/>
    <e v="#N/A"/>
    <m/>
    <m/>
  </r>
  <r>
    <d v="2026-09-28T00:00:00"/>
    <x v="8"/>
    <n v="40"/>
    <x v="25"/>
    <x v="30"/>
    <s v="a"/>
    <s v="主日奉獻"/>
    <e v="#N/A"/>
    <m/>
    <m/>
  </r>
  <r>
    <d v="2026-09-28T00:00:00"/>
    <x v="8"/>
    <n v="40"/>
    <x v="25"/>
    <x v="30"/>
    <s v="a"/>
    <s v="主日奉獻"/>
    <e v="#N/A"/>
    <m/>
    <m/>
  </r>
  <r>
    <d v="2026-09-28T00:00:00"/>
    <x v="8"/>
    <n v="40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12T00:00:00"/>
    <x v="9"/>
    <n v="42"/>
    <x v="25"/>
    <x v="30"/>
    <s v="a"/>
    <s v="主日奉獻"/>
    <e v="#N/A"/>
    <m/>
    <m/>
  </r>
  <r>
    <d v="2026-10-12T00:00:00"/>
    <x v="9"/>
    <n v="42"/>
    <x v="25"/>
    <x v="30"/>
    <s v="a"/>
    <s v="主日奉獻"/>
    <e v="#N/A"/>
    <m/>
    <m/>
  </r>
  <r>
    <d v="2026-10-12T00:00:00"/>
    <x v="9"/>
    <n v="42"/>
    <x v="25"/>
    <x v="30"/>
    <s v="a"/>
    <s v="主日奉獻"/>
    <e v="#N/A"/>
    <m/>
    <m/>
  </r>
  <r>
    <d v="2026-10-12T00:00:00"/>
    <x v="9"/>
    <n v="42"/>
    <x v="25"/>
    <x v="30"/>
    <s v="a"/>
    <s v="主日奉獻"/>
    <e v="#N/A"/>
    <m/>
    <m/>
  </r>
  <r>
    <d v="2026-10-12T00:00:00"/>
    <x v="9"/>
    <n v="42"/>
    <x v="25"/>
    <x v="30"/>
    <s v="a"/>
    <s v="主日奉獻"/>
    <e v="#N/A"/>
    <m/>
    <m/>
  </r>
  <r>
    <d v="2026-10-12T00:00:00"/>
    <x v="9"/>
    <n v="42"/>
    <x v="25"/>
    <x v="30"/>
    <s v="a"/>
    <s v="主日奉獻"/>
    <e v="#N/A"/>
    <m/>
    <m/>
  </r>
  <r>
    <d v="2026-10-12T00:00:00"/>
    <x v="9"/>
    <n v="42"/>
    <x v="25"/>
    <x v="30"/>
    <s v="a"/>
    <s v="主日奉獻"/>
    <e v="#N/A"/>
    <m/>
    <m/>
  </r>
  <r>
    <d v="2026-10-19T00:00:00"/>
    <x v="9"/>
    <n v="43"/>
    <x v="25"/>
    <x v="30"/>
    <s v="a"/>
    <s v="主日奉獻"/>
    <e v="#N/A"/>
    <m/>
    <m/>
  </r>
  <r>
    <d v="2026-10-19T00:00:00"/>
    <x v="9"/>
    <n v="43"/>
    <x v="25"/>
    <x v="30"/>
    <s v="a"/>
    <s v="主日奉獻"/>
    <e v="#N/A"/>
    <m/>
    <m/>
  </r>
  <r>
    <d v="2026-10-19T00:00:00"/>
    <x v="9"/>
    <n v="43"/>
    <x v="25"/>
    <x v="30"/>
    <s v="a"/>
    <s v="主日奉獻"/>
    <e v="#N/A"/>
    <m/>
    <m/>
  </r>
  <r>
    <d v="2026-10-19T00:00:00"/>
    <x v="9"/>
    <n v="43"/>
    <x v="25"/>
    <x v="30"/>
    <s v="a"/>
    <s v="主日奉獻"/>
    <e v="#N/A"/>
    <m/>
    <m/>
  </r>
  <r>
    <d v="2026-10-19T00:00:00"/>
    <x v="9"/>
    <n v="43"/>
    <x v="25"/>
    <x v="30"/>
    <s v="a"/>
    <s v="主日奉獻"/>
    <e v="#N/A"/>
    <m/>
    <m/>
  </r>
  <r>
    <d v="2026-10-19T00:00:00"/>
    <x v="9"/>
    <n v="43"/>
    <x v="25"/>
    <x v="30"/>
    <s v="a"/>
    <s v="主日奉獻"/>
    <e v="#N/A"/>
    <m/>
    <m/>
  </r>
  <r>
    <d v="2026-10-26T00:00:00"/>
    <x v="9"/>
    <n v="44"/>
    <x v="25"/>
    <x v="30"/>
    <s v="a"/>
    <s v="主日奉獻"/>
    <e v="#N/A"/>
    <m/>
    <m/>
  </r>
  <r>
    <d v="2026-10-26T00:00:00"/>
    <x v="9"/>
    <n v="44"/>
    <x v="25"/>
    <x v="30"/>
    <s v="a"/>
    <s v="主日奉獻"/>
    <e v="#N/A"/>
    <m/>
    <m/>
  </r>
  <r>
    <d v="2026-10-26T00:00:00"/>
    <x v="9"/>
    <n v="44"/>
    <x v="25"/>
    <x v="30"/>
    <s v="a"/>
    <s v="主日奉獻"/>
    <e v="#N/A"/>
    <m/>
    <m/>
  </r>
  <r>
    <d v="2026-10-26T00:00:00"/>
    <x v="9"/>
    <n v="44"/>
    <x v="25"/>
    <x v="30"/>
    <s v="a"/>
    <s v="主日奉獻"/>
    <e v="#N/A"/>
    <m/>
    <m/>
  </r>
  <r>
    <d v="2026-11-02T00:00:00"/>
    <x v="10"/>
    <n v="45"/>
    <x v="25"/>
    <x v="30"/>
    <s v="a"/>
    <s v="主日奉獻"/>
    <e v="#N/A"/>
    <m/>
    <m/>
  </r>
  <r>
    <d v="2026-11-02T00:00:00"/>
    <x v="10"/>
    <n v="45"/>
    <x v="25"/>
    <x v="30"/>
    <s v="a"/>
    <s v="主日奉獻"/>
    <e v="#N/A"/>
    <m/>
    <m/>
  </r>
  <r>
    <d v="2026-11-02T00:00:00"/>
    <x v="10"/>
    <n v="45"/>
    <x v="25"/>
    <x v="30"/>
    <s v="a"/>
    <s v="主日奉獻"/>
    <e v="#N/A"/>
    <m/>
    <m/>
  </r>
  <r>
    <d v="2026-11-02T00:00:00"/>
    <x v="10"/>
    <n v="45"/>
    <x v="25"/>
    <x v="30"/>
    <s v="a"/>
    <s v="主日奉獻"/>
    <e v="#N/A"/>
    <m/>
    <m/>
  </r>
  <r>
    <d v="2026-11-02T00:00:00"/>
    <x v="10"/>
    <n v="45"/>
    <x v="25"/>
    <x v="30"/>
    <s v="a"/>
    <s v="主日奉獻"/>
    <e v="#N/A"/>
    <m/>
    <m/>
  </r>
  <r>
    <d v="2026-11-02T00:00:00"/>
    <x v="10"/>
    <n v="45"/>
    <x v="25"/>
    <x v="30"/>
    <s v="a"/>
    <s v="主日奉獻"/>
    <e v="#N/A"/>
    <m/>
    <m/>
  </r>
  <r>
    <d v="2026-11-02T00:00:00"/>
    <x v="10"/>
    <n v="45"/>
    <x v="25"/>
    <x v="30"/>
    <s v="a"/>
    <s v="主日奉獻"/>
    <e v="#N/A"/>
    <m/>
    <m/>
  </r>
  <r>
    <d v="2026-11-02T00:00:00"/>
    <x v="10"/>
    <n v="45"/>
    <x v="25"/>
    <x v="30"/>
    <s v="a"/>
    <s v="主日奉獻"/>
    <e v="#N/A"/>
    <m/>
    <m/>
  </r>
  <r>
    <d v="2026-11-02T00:00:00"/>
    <x v="10"/>
    <n v="45"/>
    <x v="25"/>
    <x v="30"/>
    <s v="a"/>
    <s v="主日奉獻"/>
    <e v="#N/A"/>
    <m/>
    <m/>
  </r>
  <r>
    <d v="2026-11-09T00:00:00"/>
    <x v="10"/>
    <n v="46"/>
    <x v="25"/>
    <x v="30"/>
    <s v="a"/>
    <s v="主日奉獻"/>
    <e v="#N/A"/>
    <m/>
    <m/>
  </r>
  <r>
    <d v="2026-11-09T00:00:00"/>
    <x v="10"/>
    <n v="46"/>
    <x v="25"/>
    <x v="30"/>
    <s v="a"/>
    <s v="主日奉獻"/>
    <e v="#N/A"/>
    <m/>
    <m/>
  </r>
  <r>
    <d v="2026-11-09T00:00:00"/>
    <x v="10"/>
    <n v="46"/>
    <x v="25"/>
    <x v="30"/>
    <s v="a"/>
    <s v="主日奉獻"/>
    <e v="#N/A"/>
    <m/>
    <m/>
  </r>
  <r>
    <d v="2026-11-09T00:00:00"/>
    <x v="10"/>
    <n v="46"/>
    <x v="25"/>
    <x v="30"/>
    <s v="a"/>
    <s v="主日奉獻"/>
    <e v="#N/A"/>
    <m/>
    <m/>
  </r>
  <r>
    <d v="2026-11-09T00:00:00"/>
    <x v="10"/>
    <n v="46"/>
    <x v="25"/>
    <x v="30"/>
    <s v="a"/>
    <s v="主日奉獻"/>
    <e v="#N/A"/>
    <m/>
    <m/>
  </r>
  <r>
    <d v="2026-11-09T00:00:00"/>
    <x v="10"/>
    <n v="46"/>
    <x v="25"/>
    <x v="30"/>
    <s v="a"/>
    <s v="主日奉獻"/>
    <e v="#N/A"/>
    <m/>
    <m/>
  </r>
  <r>
    <d v="2026-11-09T00:00:00"/>
    <x v="10"/>
    <n v="46"/>
    <x v="25"/>
    <x v="30"/>
    <s v="a"/>
    <s v="主日奉獻"/>
    <e v="#N/A"/>
    <m/>
    <m/>
  </r>
  <r>
    <d v="2026-11-16T00:00:00"/>
    <x v="10"/>
    <n v="47"/>
    <x v="25"/>
    <x v="30"/>
    <s v="a"/>
    <s v="主日奉獻"/>
    <e v="#N/A"/>
    <m/>
    <m/>
  </r>
  <r>
    <d v="2026-11-16T00:00:00"/>
    <x v="10"/>
    <n v="47"/>
    <x v="25"/>
    <x v="30"/>
    <s v="a"/>
    <s v="主日奉獻"/>
    <e v="#N/A"/>
    <m/>
    <m/>
  </r>
  <r>
    <d v="2026-11-16T00:00:00"/>
    <x v="10"/>
    <n v="47"/>
    <x v="25"/>
    <x v="30"/>
    <s v="a"/>
    <s v="主日奉獻"/>
    <e v="#N/A"/>
    <m/>
    <m/>
  </r>
  <r>
    <d v="2026-11-16T00:00:00"/>
    <x v="10"/>
    <n v="47"/>
    <x v="25"/>
    <x v="30"/>
    <s v="a"/>
    <s v="主日奉獻"/>
    <e v="#N/A"/>
    <m/>
    <m/>
  </r>
  <r>
    <d v="2026-11-16T00:00:00"/>
    <x v="10"/>
    <n v="47"/>
    <x v="25"/>
    <x v="30"/>
    <s v="a"/>
    <s v="主日奉獻"/>
    <e v="#N/A"/>
    <m/>
    <m/>
  </r>
  <r>
    <d v="2026-11-16T00:00:00"/>
    <x v="10"/>
    <n v="47"/>
    <x v="25"/>
    <x v="30"/>
    <s v="a"/>
    <s v="主日奉獻"/>
    <e v="#N/A"/>
    <m/>
    <m/>
  </r>
  <r>
    <d v="2026-11-16T00:00:00"/>
    <x v="10"/>
    <n v="47"/>
    <x v="25"/>
    <x v="30"/>
    <s v="a"/>
    <s v="主日奉獻"/>
    <e v="#N/A"/>
    <m/>
    <m/>
  </r>
  <r>
    <d v="2026-11-23T00:00:00"/>
    <x v="10"/>
    <n v="48"/>
    <x v="25"/>
    <x v="30"/>
    <s v="a"/>
    <s v="主日奉獻"/>
    <e v="#N/A"/>
    <m/>
    <m/>
  </r>
  <r>
    <d v="2026-11-23T00:00:00"/>
    <x v="10"/>
    <n v="48"/>
    <x v="25"/>
    <x v="30"/>
    <s v="a"/>
    <s v="主日奉獻"/>
    <e v="#N/A"/>
    <m/>
    <m/>
  </r>
  <r>
    <d v="2026-11-23T00:00:00"/>
    <x v="10"/>
    <n v="48"/>
    <x v="25"/>
    <x v="30"/>
    <s v="a"/>
    <s v="主日奉獻"/>
    <e v="#N/A"/>
    <m/>
    <m/>
  </r>
  <r>
    <d v="2026-11-23T00:00:00"/>
    <x v="10"/>
    <n v="48"/>
    <x v="25"/>
    <x v="30"/>
    <s v="a"/>
    <s v="主日奉獻"/>
    <e v="#N/A"/>
    <m/>
    <m/>
  </r>
  <r>
    <d v="2026-11-23T00:00:00"/>
    <x v="10"/>
    <n v="48"/>
    <x v="25"/>
    <x v="30"/>
    <s v="a"/>
    <s v="主日奉獻"/>
    <e v="#N/A"/>
    <m/>
    <m/>
  </r>
  <r>
    <d v="2026-11-23T00:00:00"/>
    <x v="10"/>
    <n v="48"/>
    <x v="25"/>
    <x v="30"/>
    <s v="a"/>
    <s v="主日奉獻"/>
    <e v="#N/A"/>
    <m/>
    <m/>
  </r>
  <r>
    <d v="2026-11-23T00:00:00"/>
    <x v="10"/>
    <n v="48"/>
    <x v="25"/>
    <x v="30"/>
    <s v="a"/>
    <s v="主日奉獻"/>
    <e v="#N/A"/>
    <m/>
    <m/>
  </r>
  <r>
    <d v="2026-11-23T00:00:00"/>
    <x v="10"/>
    <n v="48"/>
    <x v="25"/>
    <x v="30"/>
    <s v="a"/>
    <s v="主日奉獻"/>
    <e v="#N/A"/>
    <m/>
    <m/>
  </r>
  <r>
    <d v="2026-11-30T00:00:00"/>
    <x v="10"/>
    <n v="49"/>
    <x v="25"/>
    <x v="30"/>
    <s v="a"/>
    <s v="主日奉獻"/>
    <e v="#N/A"/>
    <m/>
    <m/>
  </r>
  <r>
    <d v="2026-11-30T00:00:00"/>
    <x v="10"/>
    <n v="49"/>
    <x v="25"/>
    <x v="30"/>
    <s v="a"/>
    <s v="主日奉獻"/>
    <e v="#N/A"/>
    <m/>
    <m/>
  </r>
  <r>
    <d v="2026-11-30T00:00:00"/>
    <x v="10"/>
    <n v="49"/>
    <x v="25"/>
    <x v="30"/>
    <s v="a"/>
    <s v="主日奉獻"/>
    <e v="#N/A"/>
    <m/>
    <m/>
  </r>
  <r>
    <d v="2026-11-30T00:00:00"/>
    <x v="10"/>
    <n v="49"/>
    <x v="25"/>
    <x v="30"/>
    <s v="a"/>
    <s v="主日奉獻"/>
    <e v="#N/A"/>
    <m/>
    <m/>
  </r>
  <r>
    <d v="2026-11-30T00:00:00"/>
    <x v="10"/>
    <n v="49"/>
    <x v="25"/>
    <x v="30"/>
    <s v="a"/>
    <s v="主日奉獻"/>
    <e v="#N/A"/>
    <m/>
    <m/>
  </r>
  <r>
    <d v="2026-11-30T00:00:00"/>
    <x v="10"/>
    <n v="49"/>
    <x v="25"/>
    <x v="30"/>
    <s v="a"/>
    <s v="主日奉獻"/>
    <e v="#N/A"/>
    <m/>
    <m/>
  </r>
  <r>
    <d v="2026-11-30T00:00:00"/>
    <x v="10"/>
    <n v="49"/>
    <x v="25"/>
    <x v="30"/>
    <s v="a"/>
    <s v="主日奉獻"/>
    <e v="#N/A"/>
    <m/>
    <m/>
  </r>
  <r>
    <d v="2026-11-30T00:00:00"/>
    <x v="10"/>
    <n v="49"/>
    <x v="25"/>
    <x v="30"/>
    <s v="a"/>
    <s v="主日奉獻"/>
    <e v="#N/A"/>
    <m/>
    <m/>
  </r>
  <r>
    <d v="2026-11-30T00:00:00"/>
    <x v="10"/>
    <n v="49"/>
    <x v="25"/>
    <x v="30"/>
    <s v="a"/>
    <s v="主日奉獻"/>
    <e v="#N/A"/>
    <m/>
    <m/>
  </r>
  <r>
    <d v="2026-12-07T00:00:00"/>
    <x v="11"/>
    <n v="50"/>
    <x v="25"/>
    <x v="30"/>
    <s v="a"/>
    <s v="主日奉獻"/>
    <e v="#N/A"/>
    <m/>
    <m/>
  </r>
  <r>
    <d v="2026-12-07T00:00:00"/>
    <x v="11"/>
    <n v="50"/>
    <x v="25"/>
    <x v="30"/>
    <s v="a"/>
    <s v="主日奉獻"/>
    <e v="#N/A"/>
    <m/>
    <m/>
  </r>
  <r>
    <d v="2026-12-07T00:00:00"/>
    <x v="11"/>
    <n v="50"/>
    <x v="25"/>
    <x v="30"/>
    <s v="a"/>
    <s v="主日奉獻"/>
    <e v="#N/A"/>
    <m/>
    <m/>
  </r>
  <r>
    <d v="2026-12-07T00:00:00"/>
    <x v="11"/>
    <n v="50"/>
    <x v="25"/>
    <x v="30"/>
    <s v="a"/>
    <s v="主日奉獻"/>
    <e v="#N/A"/>
    <m/>
    <m/>
  </r>
  <r>
    <d v="2026-12-07T00:00:00"/>
    <x v="11"/>
    <n v="50"/>
    <x v="25"/>
    <x v="30"/>
    <s v="a"/>
    <s v="主日奉獻"/>
    <e v="#N/A"/>
    <m/>
    <m/>
  </r>
  <r>
    <d v="2026-12-07T00:00:00"/>
    <x v="11"/>
    <n v="50"/>
    <x v="25"/>
    <x v="30"/>
    <s v="a"/>
    <s v="主日奉獻"/>
    <e v="#N/A"/>
    <m/>
    <m/>
  </r>
  <r>
    <d v="2026-12-07T00:00:00"/>
    <x v="11"/>
    <n v="50"/>
    <x v="25"/>
    <x v="30"/>
    <s v="a"/>
    <s v="主日奉獻"/>
    <e v="#N/A"/>
    <m/>
    <m/>
  </r>
  <r>
    <d v="2026-12-07T00:00:00"/>
    <x v="11"/>
    <n v="50"/>
    <x v="25"/>
    <x v="30"/>
    <s v="a"/>
    <s v="主日奉獻"/>
    <e v="#N/A"/>
    <m/>
    <m/>
  </r>
  <r>
    <d v="2026-12-07T00:00:00"/>
    <x v="11"/>
    <n v="50"/>
    <x v="25"/>
    <x v="30"/>
    <s v="a"/>
    <s v="主日奉獻"/>
    <e v="#N/A"/>
    <m/>
    <m/>
  </r>
  <r>
    <d v="2026-12-14T00:00:00"/>
    <x v="11"/>
    <n v="51"/>
    <x v="25"/>
    <x v="30"/>
    <s v="a"/>
    <s v="主日奉獻"/>
    <e v="#N/A"/>
    <m/>
    <m/>
  </r>
  <r>
    <d v="2026-12-14T00:00:00"/>
    <x v="11"/>
    <n v="51"/>
    <x v="25"/>
    <x v="30"/>
    <s v="a"/>
    <s v="主日奉獻"/>
    <e v="#N/A"/>
    <m/>
    <m/>
  </r>
  <r>
    <d v="2026-12-14T00:00:00"/>
    <x v="11"/>
    <n v="51"/>
    <x v="25"/>
    <x v="30"/>
    <s v="a"/>
    <s v="主日奉獻"/>
    <e v="#N/A"/>
    <m/>
    <m/>
  </r>
  <r>
    <d v="2026-12-14T00:00:00"/>
    <x v="11"/>
    <n v="51"/>
    <x v="25"/>
    <x v="30"/>
    <s v="a"/>
    <s v="主日奉獻"/>
    <e v="#N/A"/>
    <m/>
    <m/>
  </r>
  <r>
    <d v="2026-12-14T00:00:00"/>
    <x v="11"/>
    <n v="51"/>
    <x v="25"/>
    <x v="30"/>
    <s v="a"/>
    <s v="主日奉獻"/>
    <e v="#N/A"/>
    <m/>
    <m/>
  </r>
  <r>
    <d v="2026-12-14T00:00:00"/>
    <x v="11"/>
    <n v="51"/>
    <x v="25"/>
    <x v="30"/>
    <s v="a"/>
    <s v="主日奉獻"/>
    <e v="#N/A"/>
    <m/>
    <m/>
  </r>
  <r>
    <d v="2026-12-14T00:00:00"/>
    <x v="11"/>
    <n v="51"/>
    <x v="25"/>
    <x v="30"/>
    <s v="a"/>
    <s v="主日奉獻"/>
    <e v="#N/A"/>
    <m/>
    <m/>
  </r>
  <r>
    <d v="2026-12-14T00:00:00"/>
    <x v="11"/>
    <n v="51"/>
    <x v="25"/>
    <x v="30"/>
    <s v="a"/>
    <s v="主日奉獻"/>
    <e v="#N/A"/>
    <m/>
    <m/>
  </r>
  <r>
    <d v="2026-12-14T00:00:00"/>
    <x v="11"/>
    <n v="51"/>
    <x v="25"/>
    <x v="30"/>
    <s v="a"/>
    <s v="主日奉獻"/>
    <e v="#N/A"/>
    <m/>
    <m/>
  </r>
  <r>
    <d v="2026-12-21T00:00:00"/>
    <x v="11"/>
    <n v="52"/>
    <x v="25"/>
    <x v="30"/>
    <s v="a"/>
    <s v="主日奉獻"/>
    <e v="#N/A"/>
    <m/>
    <m/>
  </r>
  <r>
    <d v="2026-12-21T00:00:00"/>
    <x v="11"/>
    <n v="52"/>
    <x v="25"/>
    <x v="30"/>
    <s v="a"/>
    <s v="主日奉獻"/>
    <e v="#N/A"/>
    <m/>
    <m/>
  </r>
  <r>
    <d v="2026-12-21T00:00:00"/>
    <x v="11"/>
    <n v="52"/>
    <x v="25"/>
    <x v="30"/>
    <s v="a"/>
    <s v="主日奉獻"/>
    <e v="#N/A"/>
    <m/>
    <m/>
  </r>
  <r>
    <d v="2026-12-21T00:00:00"/>
    <x v="11"/>
    <n v="52"/>
    <x v="25"/>
    <x v="30"/>
    <s v="a"/>
    <s v="主日奉獻"/>
    <e v="#N/A"/>
    <m/>
    <m/>
  </r>
  <r>
    <d v="2026-12-21T00:00:00"/>
    <x v="11"/>
    <n v="52"/>
    <x v="25"/>
    <x v="30"/>
    <s v="a"/>
    <s v="主日奉獻"/>
    <e v="#N/A"/>
    <m/>
    <m/>
  </r>
  <r>
    <d v="2026-12-28T00:00:00"/>
    <x v="11"/>
    <n v="53"/>
    <x v="25"/>
    <x v="30"/>
    <s v="a"/>
    <s v="主日奉獻"/>
    <e v="#N/A"/>
    <m/>
    <m/>
  </r>
  <r>
    <d v="2026-12-28T00:00:00"/>
    <x v="11"/>
    <n v="53"/>
    <x v="25"/>
    <x v="30"/>
    <s v="a"/>
    <s v="主日奉獻"/>
    <e v="#N/A"/>
    <m/>
    <m/>
  </r>
  <r>
    <d v="2026-12-28T00:00:00"/>
    <x v="11"/>
    <n v="53"/>
    <x v="25"/>
    <x v="30"/>
    <s v="a"/>
    <s v="主日奉獻"/>
    <e v="#N/A"/>
    <m/>
    <m/>
  </r>
  <r>
    <d v="2026-12-28T00:00:00"/>
    <x v="11"/>
    <n v="53"/>
    <x v="25"/>
    <x v="30"/>
    <s v="a"/>
    <s v="主日奉獻"/>
    <e v="#N/A"/>
    <m/>
    <m/>
  </r>
  <r>
    <d v="2026-12-28T00:00:00"/>
    <x v="11"/>
    <n v="53"/>
    <x v="25"/>
    <x v="30"/>
    <s v="a"/>
    <s v="主日奉獻"/>
    <e v="#N/A"/>
    <m/>
    <m/>
  </r>
  <r>
    <d v="2026-12-28T00:00:00"/>
    <x v="11"/>
    <n v="53"/>
    <x v="25"/>
    <x v="30"/>
    <s v="a"/>
    <s v="主日奉獻"/>
    <e v="#N/A"/>
    <m/>
    <m/>
  </r>
  <r>
    <d v="2026-12-28T00:00:00"/>
    <x v="11"/>
    <n v="53"/>
    <x v="25"/>
    <x v="30"/>
    <s v="a"/>
    <s v="主日奉獻"/>
    <e v="#N/A"/>
    <m/>
    <m/>
  </r>
  <r>
    <d v="2026-12-28T00:00:00"/>
    <x v="11"/>
    <n v="53"/>
    <x v="25"/>
    <x v="30"/>
    <s v="a"/>
    <s v="主日奉獻"/>
    <e v="#N/A"/>
    <m/>
    <m/>
  </r>
  <r>
    <d v="2026-12-01T00:00:00"/>
    <x v="11"/>
    <n v="49"/>
    <x v="25"/>
    <x v="30"/>
    <s v="a"/>
    <s v="主日奉獻"/>
    <e v="#N/A"/>
    <m/>
    <m/>
  </r>
  <r>
    <d v="2026-12-08T00:00:00"/>
    <x v="11"/>
    <n v="50"/>
    <x v="25"/>
    <x v="30"/>
    <s v="a"/>
    <s v="主日奉獻"/>
    <e v="#N/A"/>
    <m/>
    <m/>
  </r>
  <r>
    <d v="2026-12-08T00:00:00"/>
    <x v="11"/>
    <n v="50"/>
    <x v="25"/>
    <x v="30"/>
    <s v="a"/>
    <s v="主日奉獻"/>
    <e v="#N/A"/>
    <m/>
    <m/>
  </r>
  <r>
    <d v="2026-12-15T00:00:00"/>
    <x v="11"/>
    <n v="51"/>
    <x v="25"/>
    <x v="30"/>
    <s v="a"/>
    <s v="主日奉獻"/>
    <e v="#N/A"/>
    <m/>
    <m/>
  </r>
  <r>
    <d v="2026-12-15T00:00:00"/>
    <x v="11"/>
    <n v="51"/>
    <x v="25"/>
    <x v="30"/>
    <s v="a"/>
    <s v="主日奉獻"/>
    <e v="#N/A"/>
    <m/>
    <m/>
  </r>
  <r>
    <d v="2026-12-15T00:00:00"/>
    <x v="11"/>
    <n v="51"/>
    <x v="25"/>
    <x v="30"/>
    <s v="a"/>
    <s v="主日奉獻"/>
    <e v="#N/A"/>
    <m/>
    <m/>
  </r>
  <r>
    <d v="2026-12-15T00:00:00"/>
    <x v="11"/>
    <n v="51"/>
    <x v="25"/>
    <x v="30"/>
    <s v="a"/>
    <s v="主日奉獻"/>
    <e v="#N/A"/>
    <m/>
    <m/>
  </r>
  <r>
    <d v="2026-12-15T00:00:00"/>
    <x v="11"/>
    <n v="51"/>
    <x v="25"/>
    <x v="30"/>
    <s v="a"/>
    <s v="主日奉獻"/>
    <e v="#N/A"/>
    <m/>
    <m/>
  </r>
  <r>
    <d v="2026-12-15T00:00:00"/>
    <x v="11"/>
    <n v="51"/>
    <x v="25"/>
    <x v="30"/>
    <s v="a"/>
    <s v="主日奉獻"/>
    <e v="#N/A"/>
    <m/>
    <m/>
  </r>
  <r>
    <d v="2026-12-15T00:00:00"/>
    <x v="11"/>
    <n v="51"/>
    <x v="25"/>
    <x v="30"/>
    <s v="a"/>
    <s v="主日奉獻"/>
    <e v="#N/A"/>
    <m/>
    <m/>
  </r>
  <r>
    <d v="2026-12-22T00:00:00"/>
    <x v="11"/>
    <n v="52"/>
    <x v="25"/>
    <x v="30"/>
    <s v="a"/>
    <s v="主日奉獻"/>
    <e v="#N/A"/>
    <m/>
    <m/>
  </r>
  <r>
    <d v="2026-12-22T00:00:00"/>
    <x v="11"/>
    <n v="52"/>
    <x v="25"/>
    <x v="30"/>
    <s v="a"/>
    <s v="主日奉獻"/>
    <e v="#N/A"/>
    <m/>
    <m/>
  </r>
  <r>
    <d v="2026-12-22T00:00:00"/>
    <x v="11"/>
    <n v="52"/>
    <x v="25"/>
    <x v="30"/>
    <s v="a"/>
    <s v="主日奉獻"/>
    <e v="#N/A"/>
    <m/>
    <m/>
  </r>
  <r>
    <d v="2026-12-22T00:00:00"/>
    <x v="11"/>
    <n v="52"/>
    <x v="25"/>
    <x v="30"/>
    <s v="a"/>
    <s v="主日奉獻"/>
    <e v="#N/A"/>
    <m/>
    <m/>
  </r>
  <r>
    <d v="2026-12-22T00:00:00"/>
    <x v="11"/>
    <n v="52"/>
    <x v="25"/>
    <x v="30"/>
    <s v="a"/>
    <s v="主日奉獻"/>
    <e v="#N/A"/>
    <m/>
    <m/>
  </r>
  <r>
    <d v="2026-12-22T00:00:00"/>
    <x v="11"/>
    <n v="52"/>
    <x v="25"/>
    <x v="30"/>
    <s v="a"/>
    <s v="主日奉獻"/>
    <e v="#N/A"/>
    <m/>
    <m/>
  </r>
  <r>
    <d v="2026-12-22T00:00:00"/>
    <x v="11"/>
    <n v="52"/>
    <x v="25"/>
    <x v="30"/>
    <s v="a"/>
    <s v="主日奉獻"/>
    <e v="#N/A"/>
    <m/>
    <m/>
  </r>
  <r>
    <d v="2026-12-22T00:00:00"/>
    <x v="11"/>
    <n v="52"/>
    <x v="25"/>
    <x v="30"/>
    <s v="a"/>
    <s v="主日奉獻"/>
    <e v="#N/A"/>
    <m/>
    <m/>
  </r>
  <r>
    <d v="2026-12-29T00:00:00"/>
    <x v="11"/>
    <n v="53"/>
    <x v="25"/>
    <x v="30"/>
    <s v="a"/>
    <s v="主日奉獻"/>
    <e v="#N/A"/>
    <m/>
    <m/>
  </r>
  <r>
    <d v="2026-12-29T00:00:00"/>
    <x v="11"/>
    <n v="53"/>
    <x v="25"/>
    <x v="30"/>
    <s v="a"/>
    <s v="主日奉獻"/>
    <e v="#N/A"/>
    <m/>
    <m/>
  </r>
  <r>
    <d v="2026-12-29T00:00:00"/>
    <x v="11"/>
    <n v="53"/>
    <x v="25"/>
    <x v="30"/>
    <s v="a"/>
    <s v="主日奉獻"/>
    <e v="#N/A"/>
    <m/>
    <m/>
  </r>
  <r>
    <d v="2026-12-29T00:00:00"/>
    <x v="11"/>
    <n v="53"/>
    <x v="25"/>
    <x v="30"/>
    <s v="a"/>
    <s v="主日奉獻"/>
    <e v="#N/A"/>
    <m/>
    <m/>
  </r>
  <r>
    <d v="2026-12-29T00:00:00"/>
    <x v="11"/>
    <n v="53"/>
    <x v="25"/>
    <x v="30"/>
    <s v="a"/>
    <s v="主日奉獻"/>
    <e v="#N/A"/>
    <m/>
    <m/>
  </r>
  <r>
    <d v="2026-12-22T00:00:00"/>
    <x v="11"/>
    <n v="52"/>
    <x v="25"/>
    <x v="30"/>
    <s v="a"/>
    <s v="主日奉獻"/>
    <e v="#N/A"/>
    <m/>
    <m/>
  </r>
  <r>
    <d v="2026-12-22T00:00:00"/>
    <x v="11"/>
    <n v="52"/>
    <x v="25"/>
    <x v="30"/>
    <s v="a"/>
    <s v="主日奉獻"/>
    <e v="#N/A"/>
    <m/>
    <m/>
  </r>
  <r>
    <d v="2026-12-22T00:00:00"/>
    <x v="11"/>
    <n v="52"/>
    <x v="25"/>
    <x v="30"/>
    <s v="a"/>
    <s v="主日奉獻"/>
    <e v="#N/A"/>
    <m/>
    <m/>
  </r>
  <r>
    <d v="2026-12-01T00:00:00"/>
    <x v="11"/>
    <n v="49"/>
    <x v="25"/>
    <x v="30"/>
    <s v="a"/>
    <s v="主日奉獻"/>
    <e v="#N/A"/>
    <m/>
    <m/>
  </r>
  <r>
    <d v="2026-12-01T00:00:00"/>
    <x v="11"/>
    <n v="49"/>
    <x v="25"/>
    <x v="30"/>
    <s v="a"/>
    <s v="主日奉獻"/>
    <e v="#N/A"/>
    <m/>
    <m/>
  </r>
  <r>
    <d v="2026-12-01T00:00:00"/>
    <x v="11"/>
    <n v="49"/>
    <x v="25"/>
    <x v="30"/>
    <s v="a"/>
    <s v="主日奉獻"/>
    <e v="#N/A"/>
    <m/>
    <m/>
  </r>
  <r>
    <d v="2026-12-01T00:00:00"/>
    <x v="11"/>
    <n v="49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a"/>
    <s v="主日奉獻"/>
    <e v="#N/A"/>
    <m/>
    <m/>
  </r>
  <r>
    <d v="2026-10-04T00:00:00"/>
    <x v="9"/>
    <n v="41"/>
    <x v="25"/>
    <x v="30"/>
    <s v="j"/>
    <s v="其他收入"/>
    <e v="#N/A"/>
    <m/>
    <m/>
  </r>
  <r>
    <d v="2026-10-04T00:00:00"/>
    <x v="9"/>
    <n v="41"/>
    <x v="25"/>
    <x v="31"/>
    <m/>
    <m/>
    <m/>
    <m/>
    <m/>
  </r>
  <r>
    <d v="2026-10-04T00:00:00"/>
    <x v="9"/>
    <n v="41"/>
    <x v="25"/>
    <x v="31"/>
    <m/>
    <m/>
    <m/>
    <m/>
    <m/>
  </r>
  <r>
    <d v="2026-10-04T00:00:00"/>
    <x v="9"/>
    <n v="41"/>
    <x v="25"/>
    <x v="31"/>
    <m/>
    <m/>
    <m/>
    <m/>
    <m/>
  </r>
  <r>
    <d v="2026-10-04T00:00:00"/>
    <x v="9"/>
    <n v="41"/>
    <x v="25"/>
    <x v="31"/>
    <m/>
    <m/>
    <m/>
    <m/>
    <m/>
  </r>
  <r>
    <d v="2026-10-04T00:00:00"/>
    <x v="9"/>
    <n v="0"/>
    <x v="25"/>
    <x v="31"/>
    <m/>
    <m/>
    <m/>
    <m/>
    <m/>
  </r>
  <r>
    <m/>
    <x v="0"/>
    <n v="0"/>
    <x v="25"/>
    <x v="31"/>
    <m/>
    <m/>
    <m/>
    <m/>
    <m/>
  </r>
  <r>
    <m/>
    <x v="12"/>
    <m/>
    <x v="25"/>
    <x v="31"/>
    <m/>
    <m/>
    <m/>
    <m/>
    <m/>
  </r>
  <r>
    <m/>
    <x v="12"/>
    <m/>
    <x v="25"/>
    <x v="31"/>
    <m/>
    <m/>
    <m/>
    <m/>
    <m/>
  </r>
  <r>
    <m/>
    <x v="12"/>
    <m/>
    <x v="25"/>
    <x v="31"/>
    <m/>
    <m/>
    <m/>
    <m/>
    <m/>
  </r>
  <r>
    <m/>
    <x v="12"/>
    <m/>
    <x v="25"/>
    <x v="31"/>
    <m/>
    <m/>
    <m/>
    <m/>
    <m/>
  </r>
  <r>
    <m/>
    <x v="12"/>
    <m/>
    <x v="25"/>
    <x v="31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樞紐分析表1" cacheId="1" applyNumberFormats="0" applyBorderFormats="0" applyFontFormats="0" applyPatternFormats="0" applyAlignmentFormats="0" applyWidthHeightFormats="1" dataCaption="數值" updatedVersion="5" minRefreshableVersion="3" useAutoFormatting="1" itemPrintTitles="1" createdVersion="5" indent="0" outline="1" outlineData="1" multipleFieldFilters="0">
  <location ref="C3:K35" firstHeaderRow="1" firstDataRow="2" firstDataCol="2"/>
  <pivotFields count="10">
    <pivotField showAll="0"/>
    <pivotField axis="axisCol" showAll="0">
      <items count="14">
        <item x="0"/>
        <item x="1"/>
        <item x="2"/>
        <item x="3"/>
        <item x="4"/>
        <item x="5"/>
        <item h="1" x="6"/>
        <item h="1" x="7"/>
        <item h="1" x="8"/>
        <item h="1" x="9"/>
        <item h="1" x="10"/>
        <item h="1" x="11"/>
        <item h="1" x="12"/>
        <item t="default"/>
      </items>
    </pivotField>
    <pivotField showAll="0"/>
    <pivotField axis="axisRow" outline="0" subtotalTop="0" showAll="0" sortType="ascending" defaultSubtotal="0">
      <items count="37">
        <item m="1" x="31"/>
        <item x="15"/>
        <item m="1" x="27"/>
        <item x="22"/>
        <item x="18"/>
        <item x="7"/>
        <item x="1"/>
        <item x="10"/>
        <item x="6"/>
        <item x="12"/>
        <item x="11"/>
        <item m="1" x="28"/>
        <item x="0"/>
        <item x="5"/>
        <item x="24"/>
        <item x="2"/>
        <item m="1" x="29"/>
        <item m="1" x="30"/>
        <item m="1" x="32"/>
        <item x="16"/>
        <item x="23"/>
        <item x="9"/>
        <item m="1" x="34"/>
        <item m="1" x="35"/>
        <item m="1" x="36"/>
        <item m="1" x="26"/>
        <item x="20"/>
        <item x="3"/>
        <item x="21"/>
        <item m="1" x="33"/>
        <item x="4"/>
        <item x="17"/>
        <item x="19"/>
        <item x="8"/>
        <item x="13"/>
        <item x="14"/>
        <item h="1" x="25"/>
      </items>
    </pivotField>
    <pivotField axis="axisRow" showAll="0" defaultSubtotal="0">
      <items count="80">
        <item m="1" x="46"/>
        <item m="1" x="35"/>
        <item x="4"/>
        <item m="1" x="49"/>
        <item x="29"/>
        <item m="1" x="48"/>
        <item m="1" x="57"/>
        <item m="1" x="45"/>
        <item m="1" x="50"/>
        <item m="1" x="40"/>
        <item m="1" x="59"/>
        <item m="1" x="76"/>
        <item m="1" x="77"/>
        <item m="1" x="58"/>
        <item m="1" x="37"/>
        <item m="1" x="42"/>
        <item m="1" x="54"/>
        <item m="1" x="74"/>
        <item x="9"/>
        <item x="23"/>
        <item m="1" x="51"/>
        <item m="1" x="39"/>
        <item m="1" x="44"/>
        <item m="1" x="52"/>
        <item m="1" x="68"/>
        <item m="1" x="62"/>
        <item m="1" x="41"/>
        <item x="27"/>
        <item x="2"/>
        <item m="1" x="36"/>
        <item m="1" x="71"/>
        <item sd="0" m="1" x="72"/>
        <item x="20"/>
        <item x="18"/>
        <item x="17"/>
        <item m="1" x="53"/>
        <item x="30"/>
        <item x="31"/>
        <item m="1" x="38"/>
        <item m="1" x="56"/>
        <item x="24"/>
        <item x="11"/>
        <item m="1" x="69"/>
        <item m="1" x="33"/>
        <item m="1" x="65"/>
        <item m="1" x="73"/>
        <item x="0"/>
        <item x="6"/>
        <item m="1" x="64"/>
        <item m="1" x="61"/>
        <item m="1" x="60"/>
        <item m="1" x="78"/>
        <item x="7"/>
        <item x="3"/>
        <item m="1" x="32"/>
        <item m="1" x="34"/>
        <item m="1" x="79"/>
        <item x="19"/>
        <item m="1" x="43"/>
        <item m="1" x="66"/>
        <item m="1" x="63"/>
        <item m="1" x="67"/>
        <item x="22"/>
        <item x="1"/>
        <item m="1" x="70"/>
        <item m="1" x="47"/>
        <item m="1" x="75"/>
        <item m="1" x="55"/>
        <item x="8"/>
        <item x="10"/>
        <item x="13"/>
        <item x="14"/>
        <item x="15"/>
        <item x="16"/>
        <item x="5"/>
        <item x="21"/>
        <item x="12"/>
        <item x="25"/>
        <item x="26"/>
        <item x="28"/>
      </items>
    </pivotField>
    <pivotField showAll="0"/>
    <pivotField showAll="0"/>
    <pivotField showAll="0"/>
    <pivotField showAll="0"/>
    <pivotField dataField="1" showAll="0"/>
  </pivotFields>
  <rowFields count="2">
    <field x="3"/>
    <field x="4"/>
  </rowFields>
  <rowItems count="31">
    <i>
      <x v="1"/>
      <x v="34"/>
    </i>
    <i>
      <x v="3"/>
      <x v="40"/>
    </i>
    <i>
      <x v="4"/>
      <x v="32"/>
    </i>
    <i>
      <x v="5"/>
      <x v="52"/>
    </i>
    <i>
      <x v="6"/>
      <x v="63"/>
    </i>
    <i>
      <x v="7"/>
      <x v="69"/>
    </i>
    <i>
      <x v="8"/>
      <x v="47"/>
    </i>
    <i>
      <x v="9"/>
      <x v="76"/>
    </i>
    <i>
      <x v="10"/>
      <x v="41"/>
    </i>
    <i>
      <x v="12"/>
      <x v="46"/>
    </i>
    <i>
      <x v="13"/>
      <x v="74"/>
    </i>
    <i>
      <x v="14"/>
      <x v="4"/>
    </i>
    <i>
      <x v="15"/>
      <x v="28"/>
    </i>
    <i>
      <x v="19"/>
      <x v="33"/>
    </i>
    <i>
      <x v="20"/>
      <x v="27"/>
    </i>
    <i>
      <x v="21"/>
      <x v="18"/>
    </i>
    <i>
      <x v="26"/>
      <x v="62"/>
    </i>
    <i>
      <x v="27"/>
      <x v="53"/>
    </i>
    <i>
      <x v="28"/>
      <x v="19"/>
    </i>
    <i>
      <x v="30"/>
      <x v="2"/>
    </i>
    <i>
      <x v="31"/>
      <x v="57"/>
    </i>
    <i>
      <x v="32"/>
      <x v="75"/>
    </i>
    <i>
      <x v="33"/>
      <x v="68"/>
    </i>
    <i r="1">
      <x v="71"/>
    </i>
    <i r="1">
      <x v="73"/>
    </i>
    <i r="1">
      <x v="77"/>
    </i>
    <i r="1">
      <x v="78"/>
    </i>
    <i r="1">
      <x v="79"/>
    </i>
    <i>
      <x v="34"/>
      <x v="70"/>
    </i>
    <i>
      <x v="35"/>
      <x v="72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加總 - 奉獻金額" fld="9" baseField="4" baseItem="26" numFmtId="43"/>
  </dataFields>
  <formats count="8">
    <format dxfId="456">
      <pivotArea type="all" dataOnly="0" outline="0" fieldPosition="0"/>
    </format>
    <format dxfId="455">
      <pivotArea outline="0" collapsedLevelsAreSubtotals="1" fieldPosition="0"/>
    </format>
    <format dxfId="454">
      <pivotArea dataOnly="0" labelOnly="1" fieldPosition="0">
        <references count="1">
          <reference field="3" count="28">
            <x v="0"/>
            <x v="1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7"/>
            <x v="28"/>
            <x v="29"/>
            <x v="30"/>
            <x v="33"/>
          </reference>
        </references>
      </pivotArea>
    </format>
    <format dxfId="453">
      <pivotArea dataOnly="0" labelOnly="1" grandRow="1" outline="0" fieldPosition="0"/>
    </format>
    <format dxfId="452">
      <pivotArea dataOnly="0" labelOnly="1" fieldPosition="0">
        <references count="2">
          <reference field="3" count="1" selected="0">
            <x v="0"/>
          </reference>
          <reference field="4" count="0"/>
        </references>
      </pivotArea>
    </format>
    <format dxfId="451">
      <pivotArea dataOnly="0" labelOnly="1" fieldPosition="0">
        <references count="1">
          <reference field="1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450">
      <pivotArea dataOnly="0" labelOnly="1" grandCol="1" outline="0" fieldPosition="0"/>
    </format>
    <format dxfId="44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樞紐分析表1" cacheId="0" applyNumberFormats="0" applyBorderFormats="0" applyFontFormats="0" applyPatternFormats="0" applyAlignmentFormats="0" applyWidthHeightFormats="1" dataCaption="數值" updatedVersion="5" minRefreshableVersion="3" useAutoFormatting="1" itemPrintTitles="1" createdVersion="5" indent="0" outline="1" outlineData="1" multipleFieldFilters="0">
  <location ref="B6:F36" firstHeaderRow="1" firstDataRow="2" firstDataCol="2" rowPageCount="2" colPageCount="1"/>
  <pivotFields count="12">
    <pivotField showAll="0"/>
    <pivotField axis="axisPage" multipleItemSelectionAllowed="1" showAll="0">
      <items count="14">
        <item x="0"/>
        <item x="1"/>
        <item x="12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Page" multipleItemSelectionAllowed="1" showAll="0">
      <items count="56">
        <item m="1" x="53"/>
        <item x="1"/>
        <item x="2"/>
        <item x="3"/>
        <item x="4"/>
        <item x="5"/>
        <item x="6"/>
        <item x="52"/>
        <item x="7"/>
        <item x="8"/>
        <item x="9"/>
        <item x="10"/>
        <item x="11"/>
        <item x="12"/>
        <item x="13"/>
        <item x="14"/>
        <item x="15"/>
        <item x="16"/>
        <item x="17"/>
        <item x="19"/>
        <item x="20"/>
        <item x="21"/>
        <item x="51"/>
        <item x="22"/>
        <item x="23"/>
        <item x="25"/>
        <item m="1" x="54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0"/>
        <item x="18"/>
        <item x="43"/>
        <item x="44"/>
        <item x="45"/>
        <item x="46"/>
        <item x="24"/>
        <item x="47"/>
        <item x="48"/>
        <item x="49"/>
        <item x="50"/>
        <item t="default"/>
      </items>
    </pivotField>
    <pivotField axis="axisRow" outline="0" showAll="0" sortType="ascending" defaultSubtotal="0">
      <items count="46">
        <item m="1" x="36"/>
        <item x="15"/>
        <item m="1" x="38"/>
        <item m="1" x="28"/>
        <item x="22"/>
        <item x="18"/>
        <item x="7"/>
        <item x="1"/>
        <item x="10"/>
        <item x="6"/>
        <item x="12"/>
        <item x="11"/>
        <item m="1" x="29"/>
        <item m="1" x="30"/>
        <item x="0"/>
        <item x="5"/>
        <item x="24"/>
        <item x="2"/>
        <item m="1" x="32"/>
        <item m="1" x="34"/>
        <item m="1" x="37"/>
        <item x="16"/>
        <item x="23"/>
        <item x="9"/>
        <item m="1" x="41"/>
        <item m="1" x="42"/>
        <item m="1" x="43"/>
        <item m="1" x="44"/>
        <item m="1" x="45"/>
        <item m="1" x="31"/>
        <item m="1" x="33"/>
        <item m="1" x="26"/>
        <item m="1" x="35"/>
        <item m="1" x="27"/>
        <item m="1" x="39"/>
        <item x="20"/>
        <item x="3"/>
        <item x="21"/>
        <item m="1" x="40"/>
        <item x="4"/>
        <item x="17"/>
        <item x="19"/>
        <item x="8"/>
        <item h="1" x="13"/>
        <item h="1" x="14"/>
        <item h="1" x="25"/>
      </items>
    </pivotField>
    <pivotField axis="axisRow" showAll="0">
      <items count="132">
        <item m="1" x="116"/>
        <item m="1" x="79"/>
        <item x="24"/>
        <item m="1" x="107"/>
        <item m="1" x="63"/>
        <item m="1" x="38"/>
        <item m="1" x="126"/>
        <item m="1" x="85"/>
        <item m="1" x="48"/>
        <item m="1" x="105"/>
        <item m="1" x="49"/>
        <item x="2"/>
        <item m="1" x="77"/>
        <item m="1" x="111"/>
        <item m="1" x="114"/>
        <item m="1" x="95"/>
        <item x="30"/>
        <item x="31"/>
        <item x="18"/>
        <item m="1" x="60"/>
        <item m="1" x="84"/>
        <item m="1" x="64"/>
        <item m="1" x="108"/>
        <item m="1" x="62"/>
        <item m="1" x="61"/>
        <item m="1" x="125"/>
        <item m="1" x="121"/>
        <item m="1" x="118"/>
        <item m="1" x="71"/>
        <item m="1" x="101"/>
        <item m="1" x="94"/>
        <item m="1" x="66"/>
        <item m="1" x="120"/>
        <item m="1" x="73"/>
        <item m="1" x="57"/>
        <item m="1" x="59"/>
        <item m="1" x="129"/>
        <item m="1" x="65"/>
        <item x="29"/>
        <item m="1" x="93"/>
        <item m="1" x="102"/>
        <item m="1" x="40"/>
        <item m="1" x="74"/>
        <item m="1" x="119"/>
        <item m="1" x="45"/>
        <item m="1" x="32"/>
        <item m="1" x="76"/>
        <item m="1" x="99"/>
        <item m="1" x="56"/>
        <item m="1" x="69"/>
        <item m="1" x="34"/>
        <item m="1" x="100"/>
        <item m="1" x="83"/>
        <item x="17"/>
        <item x="20"/>
        <item m="1" x="58"/>
        <item m="1" x="122"/>
        <item m="1" x="47"/>
        <item m="1" x="87"/>
        <item m="1" x="46"/>
        <item m="1" x="50"/>
        <item m="1" x="88"/>
        <item m="1" x="81"/>
        <item m="1" x="53"/>
        <item m="1" x="123"/>
        <item m="1" x="39"/>
        <item m="1" x="86"/>
        <item m="1" x="70"/>
        <item m="1" x="78"/>
        <item m="1" x="36"/>
        <item m="1" x="72"/>
        <item m="1" x="130"/>
        <item x="23"/>
        <item m="1" x="115"/>
        <item m="1" x="124"/>
        <item m="1" x="51"/>
        <item m="1" x="113"/>
        <item m="1" x="44"/>
        <item m="1" x="91"/>
        <item m="1" x="41"/>
        <item x="9"/>
        <item m="1" x="104"/>
        <item m="1" x="68"/>
        <item m="1" x="80"/>
        <item m="1" x="37"/>
        <item m="1" x="103"/>
        <item m="1" x="55"/>
        <item m="1" x="54"/>
        <item m="1" x="43"/>
        <item m="1" x="75"/>
        <item x="27"/>
        <item x="4"/>
        <item m="1" x="110"/>
        <item m="1" x="42"/>
        <item x="11"/>
        <item m="1" x="106"/>
        <item m="1" x="33"/>
        <item m="1" x="97"/>
        <item m="1" x="112"/>
        <item x="0"/>
        <item x="6"/>
        <item m="1" x="96"/>
        <item m="1" x="90"/>
        <item m="1" x="89"/>
        <item m="1" x="127"/>
        <item x="7"/>
        <item x="3"/>
        <item m="1" x="35"/>
        <item m="1" x="128"/>
        <item x="19"/>
        <item m="1" x="52"/>
        <item m="1" x="98"/>
        <item m="1" x="92"/>
        <item x="22"/>
        <item x="1"/>
        <item m="1" x="109"/>
        <item m="1" x="67"/>
        <item m="1" x="117"/>
        <item m="1" x="82"/>
        <item x="8"/>
        <item x="10"/>
        <item x="13"/>
        <item x="14"/>
        <item x="15"/>
        <item x="16"/>
        <item x="5"/>
        <item x="21"/>
        <item x="12"/>
        <item x="25"/>
        <item x="26"/>
        <item x="28"/>
        <item t="default"/>
      </items>
    </pivotField>
    <pivotField showAll="0"/>
    <pivotField axis="axisCol" showAll="0">
      <items count="8">
        <item x="0"/>
        <item m="1" x="5"/>
        <item x="3"/>
        <item m="1" x="4"/>
        <item m="1" x="6"/>
        <item x="2"/>
        <item x="1"/>
        <item t="default"/>
      </items>
    </pivotField>
    <pivotField showAll="0"/>
    <pivotField showAll="0"/>
    <pivotField dataField="1" showAll="0"/>
    <pivotField showAll="0"/>
    <pivotField showAll="0"/>
  </pivotFields>
  <rowFields count="2">
    <field x="3"/>
    <field x="4"/>
  </rowFields>
  <rowItems count="29">
    <i>
      <x v="1"/>
      <x v="53"/>
    </i>
    <i>
      <x v="4"/>
      <x v="2"/>
    </i>
    <i>
      <x v="5"/>
      <x v="54"/>
    </i>
    <i>
      <x v="6"/>
      <x v="105"/>
    </i>
    <i>
      <x v="7"/>
      <x v="114"/>
    </i>
    <i>
      <x v="8"/>
      <x v="120"/>
    </i>
    <i>
      <x v="9"/>
      <x v="100"/>
    </i>
    <i>
      <x v="10"/>
      <x v="127"/>
    </i>
    <i>
      <x v="11"/>
      <x v="94"/>
    </i>
    <i>
      <x v="14"/>
      <x v="99"/>
    </i>
    <i>
      <x v="15"/>
      <x v="125"/>
    </i>
    <i>
      <x v="16"/>
      <x v="38"/>
    </i>
    <i>
      <x v="17"/>
      <x v="11"/>
    </i>
    <i>
      <x v="21"/>
      <x v="18"/>
    </i>
    <i>
      <x v="22"/>
      <x v="90"/>
    </i>
    <i>
      <x v="23"/>
      <x v="80"/>
    </i>
    <i>
      <x v="35"/>
      <x v="113"/>
    </i>
    <i>
      <x v="36"/>
      <x v="106"/>
    </i>
    <i>
      <x v="37"/>
      <x v="72"/>
    </i>
    <i>
      <x v="39"/>
      <x v="91"/>
    </i>
    <i>
      <x v="40"/>
      <x v="109"/>
    </i>
    <i>
      <x v="41"/>
      <x v="126"/>
    </i>
    <i>
      <x v="42"/>
      <x v="119"/>
    </i>
    <i r="1">
      <x v="122"/>
    </i>
    <i r="1">
      <x v="124"/>
    </i>
    <i r="1">
      <x v="128"/>
    </i>
    <i r="1">
      <x v="129"/>
    </i>
    <i r="1">
      <x v="130"/>
    </i>
    <i t="grand">
      <x/>
    </i>
  </rowItems>
  <colFields count="1">
    <field x="6"/>
  </colFields>
  <colItems count="3">
    <i>
      <x/>
    </i>
    <i>
      <x v="6"/>
    </i>
    <i t="grand">
      <x/>
    </i>
  </colItems>
  <pageFields count="2">
    <pageField fld="1" hier="-1"/>
    <pageField fld="2" hier="-1"/>
  </pageFields>
  <dataFields count="1">
    <dataField name="加總 - 奉獻金額" fld="9" baseField="3" baseItem="0" numFmtId="40"/>
  </dataFields>
  <formats count="40">
    <format dxfId="448">
      <pivotArea type="all" dataOnly="0" outline="0" fieldPosition="0"/>
    </format>
    <format dxfId="447">
      <pivotArea outline="0" collapsedLevelsAreSubtotals="1" fieldPosition="0"/>
    </format>
    <format dxfId="446">
      <pivotArea dataOnly="0" labelOnly="1" fieldPosition="0">
        <references count="1">
          <reference field="3" count="16">
            <x v="0"/>
            <x v="1"/>
            <x v="2"/>
            <x v="3"/>
            <x v="4"/>
            <x v="6"/>
            <x v="7"/>
            <x v="8"/>
            <x v="9"/>
            <x v="10"/>
            <x v="11"/>
            <x v="12"/>
            <x v="13"/>
            <x v="15"/>
            <x v="16"/>
            <x v="17"/>
          </reference>
        </references>
      </pivotArea>
    </format>
    <format dxfId="445">
      <pivotArea dataOnly="0" labelOnly="1" grandRow="1" outline="0" fieldPosition="0"/>
    </format>
    <format dxfId="444">
      <pivotArea dataOnly="0" labelOnly="1" fieldPosition="0">
        <references count="2">
          <reference field="3" count="1" selected="0">
            <x v="0"/>
          </reference>
          <reference field="4" count="1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</reference>
        </references>
      </pivotArea>
    </format>
    <format dxfId="443">
      <pivotArea dataOnly="0" labelOnly="1" fieldPosition="0">
        <references count="1">
          <reference field="6" count="0"/>
        </references>
      </pivotArea>
    </format>
    <format dxfId="442">
      <pivotArea dataOnly="0" labelOnly="1" grandCol="1" outline="0" fieldPosition="0"/>
    </format>
    <format dxfId="441">
      <pivotArea dataOnly="0" labelOnly="1" fieldPosition="0">
        <references count="1">
          <reference field="3" count="16">
            <x v="0"/>
            <x v="1"/>
            <x v="2"/>
            <x v="3"/>
            <x v="4"/>
            <x v="6"/>
            <x v="7"/>
            <x v="8"/>
            <x v="9"/>
            <x v="10"/>
            <x v="11"/>
            <x v="12"/>
            <x v="13"/>
            <x v="15"/>
            <x v="16"/>
            <x v="17"/>
          </reference>
        </references>
      </pivotArea>
    </format>
    <format dxfId="440">
      <pivotArea dataOnly="0" labelOnly="1" grandRow="1" outline="0" fieldPosition="0"/>
    </format>
    <format dxfId="439">
      <pivotArea dataOnly="0" labelOnly="1" fieldPosition="0">
        <references count="2">
          <reference field="3" count="1" selected="0">
            <x v="0"/>
          </reference>
          <reference field="4" count="1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</reference>
        </references>
      </pivotArea>
    </format>
    <format dxfId="438">
      <pivotArea dataOnly="0" labelOnly="1" outline="0" fieldPosition="0">
        <references count="1">
          <reference field="1" count="0"/>
        </references>
      </pivotArea>
    </format>
    <format dxfId="437">
      <pivotArea dataOnly="0" outline="0" fieldPosition="0">
        <references count="1">
          <reference field="1" count="0"/>
        </references>
      </pivotArea>
    </format>
    <format dxfId="436">
      <pivotArea collapsedLevelsAreSubtotals="1" fieldPosition="0">
        <references count="3">
          <reference field="3" count="1" selected="0">
            <x v="0"/>
          </reference>
          <reference field="4" count="1">
            <x v="13"/>
          </reference>
          <reference field="6" count="0" selected="0"/>
        </references>
      </pivotArea>
    </format>
    <format dxfId="435">
      <pivotArea collapsedLevelsAreSubtotals="1" fieldPosition="0">
        <references count="3">
          <reference field="3" count="1" selected="0">
            <x v="1"/>
          </reference>
          <reference field="4" count="1">
            <x v="14"/>
          </reference>
          <reference field="6" count="0" selected="0"/>
        </references>
      </pivotArea>
    </format>
    <format dxfId="434">
      <pivotArea collapsedLevelsAreSubtotals="1" fieldPosition="0">
        <references count="3">
          <reference field="3" count="1" selected="0">
            <x v="2"/>
          </reference>
          <reference field="4" count="1">
            <x v="12"/>
          </reference>
          <reference field="6" count="0" selected="0"/>
        </references>
      </pivotArea>
    </format>
    <format dxfId="433">
      <pivotArea collapsedLevelsAreSubtotals="1" fieldPosition="0">
        <references count="3">
          <reference field="3" count="1" selected="0">
            <x v="3"/>
          </reference>
          <reference field="4" count="1">
            <x v="6"/>
          </reference>
          <reference field="6" count="0" selected="0"/>
        </references>
      </pivotArea>
    </format>
    <format dxfId="432">
      <pivotArea collapsedLevelsAreSubtotals="1" fieldPosition="0">
        <references count="3">
          <reference field="3" count="1" selected="0">
            <x v="4"/>
          </reference>
          <reference field="4" count="1">
            <x v="2"/>
          </reference>
          <reference field="6" count="0" selected="0"/>
        </references>
      </pivotArea>
    </format>
    <format dxfId="431">
      <pivotArea collapsedLevelsAreSubtotals="1" fieldPosition="0">
        <references count="3">
          <reference field="3" count="1" selected="0">
            <x v="6"/>
          </reference>
          <reference field="4" count="1">
            <x v="5"/>
          </reference>
          <reference field="6" count="0" selected="0"/>
        </references>
      </pivotArea>
    </format>
    <format dxfId="430">
      <pivotArea collapsedLevelsAreSubtotals="1" fieldPosition="0">
        <references count="3">
          <reference field="3" count="1" selected="0">
            <x v="7"/>
          </reference>
          <reference field="4" count="1">
            <x v="3"/>
          </reference>
          <reference field="6" count="0" selected="0"/>
        </references>
      </pivotArea>
    </format>
    <format dxfId="429">
      <pivotArea collapsedLevelsAreSubtotals="1" fieldPosition="0">
        <references count="3">
          <reference field="3" count="1" selected="0">
            <x v="8"/>
          </reference>
          <reference field="4" count="1">
            <x v="9"/>
          </reference>
          <reference field="6" count="0" selected="0"/>
        </references>
      </pivotArea>
    </format>
    <format dxfId="428">
      <pivotArea collapsedLevelsAreSubtotals="1" fieldPosition="0">
        <references count="3">
          <reference field="3" count="1" selected="0">
            <x v="9"/>
          </reference>
          <reference field="4" count="1">
            <x v="10"/>
          </reference>
          <reference field="6" count="0" selected="0"/>
        </references>
      </pivotArea>
    </format>
    <format dxfId="427">
      <pivotArea collapsedLevelsAreSubtotals="1" fieldPosition="0">
        <references count="3">
          <reference field="3" count="1" selected="0">
            <x v="10"/>
          </reference>
          <reference field="4" count="1">
            <x v="8"/>
          </reference>
          <reference field="6" count="0" selected="0"/>
        </references>
      </pivotArea>
    </format>
    <format dxfId="426">
      <pivotArea collapsedLevelsAreSubtotals="1" fieldPosition="0">
        <references count="3">
          <reference field="3" count="1" selected="0">
            <x v="11"/>
          </reference>
          <reference field="4" count="1">
            <x v="0"/>
          </reference>
          <reference field="6" count="0" selected="0"/>
        </references>
      </pivotArea>
    </format>
    <format dxfId="425">
      <pivotArea collapsedLevelsAreSubtotals="1" fieldPosition="0">
        <references count="3">
          <reference field="3" count="1" selected="0">
            <x v="12"/>
          </reference>
          <reference field="4" count="1">
            <x v="4"/>
          </reference>
          <reference field="6" count="0" selected="0"/>
        </references>
      </pivotArea>
    </format>
    <format dxfId="424">
      <pivotArea collapsedLevelsAreSubtotals="1" fieldPosition="0">
        <references count="3">
          <reference field="3" count="1" selected="0">
            <x v="13"/>
          </reference>
          <reference field="4" count="1">
            <x v="15"/>
          </reference>
          <reference field="6" count="0" selected="0"/>
        </references>
      </pivotArea>
    </format>
    <format dxfId="423">
      <pivotArea collapsedLevelsAreSubtotals="1" fieldPosition="0">
        <references count="3">
          <reference field="3" count="1" selected="0">
            <x v="17"/>
          </reference>
          <reference field="4" count="1">
            <x v="11"/>
          </reference>
          <reference field="6" count="0" selected="0"/>
        </references>
      </pivotArea>
    </format>
    <format dxfId="422">
      <pivotArea field="6" grandRow="1" outline="0" collapsedLevelsAreSubtotals="1" axis="axisCol" fieldPosition="0">
        <references count="1">
          <reference field="6" count="0" selected="0"/>
        </references>
      </pivotArea>
    </format>
    <format dxfId="421">
      <pivotArea dataOnly="0" labelOnly="1" outline="0" fieldPosition="0">
        <references count="1">
          <reference field="2" count="0"/>
        </references>
      </pivotArea>
    </format>
    <format dxfId="420">
      <pivotArea dataOnly="0" labelOnly="1" fieldPosition="0">
        <references count="1">
          <reference field="3" count="21">
            <x v="0"/>
            <x v="1"/>
            <x v="2"/>
            <x v="6"/>
            <x v="7"/>
            <x v="9"/>
            <x v="10"/>
            <x v="11"/>
            <x v="15"/>
            <x v="17"/>
            <x v="19"/>
            <x v="21"/>
            <x v="22"/>
            <x v="23"/>
            <x v="24"/>
            <x v="25"/>
            <x v="26"/>
            <x v="27"/>
            <x v="28"/>
            <x v="29"/>
            <x v="30"/>
          </reference>
        </references>
      </pivotArea>
    </format>
    <format dxfId="419">
      <pivotArea dataOnly="0" labelOnly="1" fieldPosition="0">
        <references count="1">
          <reference field="3" count="17">
            <x v="0"/>
            <x v="1"/>
            <x v="6"/>
            <x v="7"/>
            <x v="8"/>
            <x v="9"/>
            <x v="11"/>
            <x v="17"/>
            <x v="22"/>
            <x v="23"/>
            <x v="24"/>
            <x v="31"/>
            <x v="32"/>
            <x v="33"/>
            <x v="34"/>
            <x v="42"/>
            <x v="45"/>
          </reference>
        </references>
      </pivotArea>
    </format>
    <format dxfId="418">
      <pivotArea dataOnly="0" labelOnly="1" fieldPosition="0">
        <references count="1">
          <reference field="3" count="1">
            <x v="35"/>
          </reference>
        </references>
      </pivotArea>
    </format>
    <format dxfId="417">
      <pivotArea dataOnly="0" labelOnly="1" fieldPosition="0">
        <references count="1">
          <reference field="3" count="3">
            <x v="18"/>
            <x v="19"/>
            <x v="20"/>
          </reference>
        </references>
      </pivotArea>
    </format>
    <format dxfId="416">
      <pivotArea dataOnly="0" labelOnly="1" fieldPosition="0">
        <references count="1">
          <reference field="3" count="1">
            <x v="14"/>
          </reference>
        </references>
      </pivotArea>
    </format>
    <format dxfId="415">
      <pivotArea dataOnly="0" labelOnly="1" fieldPosition="0">
        <references count="1">
          <reference field="3" count="1">
            <x v="36"/>
          </reference>
        </references>
      </pivotArea>
    </format>
    <format dxfId="414">
      <pivotArea dataOnly="0" labelOnly="1" fieldPosition="0">
        <references count="1">
          <reference field="3" count="1">
            <x v="5"/>
          </reference>
        </references>
      </pivotArea>
    </format>
    <format dxfId="413">
      <pivotArea dataOnly="0" labelOnly="1" fieldPosition="0">
        <references count="1">
          <reference field="3" count="1">
            <x v="37"/>
          </reference>
        </references>
      </pivotArea>
    </format>
    <format dxfId="412">
      <pivotArea dataOnly="0" labelOnly="1" fieldPosition="0">
        <references count="1">
          <reference field="3" count="1">
            <x v="38"/>
          </reference>
        </references>
      </pivotArea>
    </format>
    <format dxfId="411">
      <pivotArea dataOnly="0" labelOnly="1" fieldPosition="0">
        <references count="1">
          <reference field="3" count="1">
            <x v="39"/>
          </reference>
        </references>
      </pivotArea>
    </format>
    <format dxfId="410">
      <pivotArea dataOnly="0" labelOnly="1" fieldPosition="0">
        <references count="1">
          <reference field="3" count="1">
            <x v="40"/>
          </reference>
        </references>
      </pivotArea>
    </format>
    <format dxfId="409">
      <pivotArea dataOnly="0" labelOnly="1" fieldPosition="0">
        <references count="1">
          <reference field="3" count="1">
            <x v="4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樞紐分析表7" cacheId="0" applyNumberFormats="0" applyBorderFormats="0" applyFontFormats="0" applyPatternFormats="0" applyAlignmentFormats="0" applyWidthHeightFormats="1" dataCaption="數值" updatedVersion="5" minRefreshableVersion="3" useAutoFormatting="1" itemPrintTitles="1" createdVersion="5" indent="0" outline="1" outlineData="1" multipleFieldFilters="0">
  <location ref="B7:G22" firstHeaderRow="1" firstDataRow="2" firstDataCol="2" rowPageCount="2" colPageCount="1"/>
  <pivotFields count="12">
    <pivotField showAll="0"/>
    <pivotField axis="axisPage" multipleItemSelectionAllowed="1" showAll="0">
      <items count="14">
        <item x="0"/>
        <item h="1" x="1"/>
        <item h="1" x="12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t="default"/>
      </items>
    </pivotField>
    <pivotField axis="axisPage" multipleItemSelectionAllowed="1" showAll="0">
      <items count="56">
        <item m="1" x="53"/>
        <item x="1"/>
        <item x="2"/>
        <item x="3"/>
        <item x="4"/>
        <item x="5"/>
        <item x="6"/>
        <item x="52"/>
        <item x="7"/>
        <item x="8"/>
        <item x="9"/>
        <item x="10"/>
        <item x="11"/>
        <item x="12"/>
        <item x="13"/>
        <item x="14"/>
        <item x="15"/>
        <item x="16"/>
        <item x="17"/>
        <item x="19"/>
        <item x="20"/>
        <item x="21"/>
        <item x="51"/>
        <item x="22"/>
        <item x="23"/>
        <item x="25"/>
        <item m="1" x="54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0"/>
        <item x="18"/>
        <item x="43"/>
        <item x="44"/>
        <item x="45"/>
        <item x="46"/>
        <item x="24"/>
        <item x="47"/>
        <item x="48"/>
        <item x="49"/>
        <item x="50"/>
        <item t="default"/>
      </items>
    </pivotField>
    <pivotField axis="axisRow" outline="0" showAll="0" sortType="ascending" defaultSubtotal="0">
      <items count="46">
        <item m="1" x="36"/>
        <item x="15"/>
        <item m="1" x="38"/>
        <item m="1" x="28"/>
        <item x="22"/>
        <item x="18"/>
        <item x="7"/>
        <item x="1"/>
        <item x="10"/>
        <item x="6"/>
        <item x="12"/>
        <item x="11"/>
        <item m="1" x="29"/>
        <item m="1" x="30"/>
        <item x="0"/>
        <item x="5"/>
        <item x="24"/>
        <item x="2"/>
        <item m="1" x="32"/>
        <item m="1" x="34"/>
        <item m="1" x="37"/>
        <item x="16"/>
        <item x="23"/>
        <item x="9"/>
        <item m="1" x="41"/>
        <item m="1" x="42"/>
        <item m="1" x="43"/>
        <item m="1" x="44"/>
        <item m="1" x="45"/>
        <item m="1" x="31"/>
        <item m="1" x="33"/>
        <item m="1" x="26"/>
        <item m="1" x="35"/>
        <item m="1" x="27"/>
        <item m="1" x="39"/>
        <item x="20"/>
        <item x="3"/>
        <item x="21"/>
        <item m="1" x="40"/>
        <item x="4"/>
        <item x="17"/>
        <item x="19"/>
        <item x="8"/>
        <item x="13"/>
        <item x="14"/>
        <item x="25"/>
      </items>
    </pivotField>
    <pivotField axis="axisRow" showAll="0">
      <items count="132">
        <item m="1" x="116"/>
        <item m="1" x="79"/>
        <item x="24"/>
        <item m="1" x="107"/>
        <item m="1" x="63"/>
        <item m="1" x="38"/>
        <item m="1" x="126"/>
        <item m="1" x="85"/>
        <item m="1" x="48"/>
        <item m="1" x="105"/>
        <item m="1" x="49"/>
        <item x="2"/>
        <item m="1" x="77"/>
        <item m="1" x="111"/>
        <item m="1" x="114"/>
        <item m="1" x="95"/>
        <item x="30"/>
        <item x="31"/>
        <item x="18"/>
        <item m="1" x="60"/>
        <item m="1" x="84"/>
        <item m="1" x="64"/>
        <item m="1" x="108"/>
        <item m="1" x="62"/>
        <item m="1" x="61"/>
        <item m="1" x="125"/>
        <item m="1" x="121"/>
        <item m="1" x="118"/>
        <item m="1" x="71"/>
        <item m="1" x="101"/>
        <item m="1" x="94"/>
        <item m="1" x="66"/>
        <item m="1" x="120"/>
        <item m="1" x="73"/>
        <item m="1" x="57"/>
        <item m="1" x="59"/>
        <item m="1" x="129"/>
        <item m="1" x="65"/>
        <item x="29"/>
        <item m="1" x="93"/>
        <item m="1" x="102"/>
        <item m="1" x="40"/>
        <item m="1" x="74"/>
        <item m="1" x="119"/>
        <item m="1" x="45"/>
        <item m="1" x="32"/>
        <item m="1" x="76"/>
        <item m="1" x="99"/>
        <item m="1" x="56"/>
        <item m="1" x="69"/>
        <item m="1" x="34"/>
        <item m="1" x="100"/>
        <item m="1" x="83"/>
        <item x="17"/>
        <item x="20"/>
        <item m="1" x="58"/>
        <item m="1" x="122"/>
        <item m="1" x="47"/>
        <item m="1" x="87"/>
        <item m="1" x="46"/>
        <item m="1" x="50"/>
        <item m="1" x="88"/>
        <item m="1" x="81"/>
        <item m="1" x="53"/>
        <item m="1" x="123"/>
        <item m="1" x="39"/>
        <item m="1" x="86"/>
        <item m="1" x="70"/>
        <item m="1" x="78"/>
        <item m="1" x="36"/>
        <item m="1" x="72"/>
        <item m="1" x="130"/>
        <item x="23"/>
        <item m="1" x="115"/>
        <item m="1" x="124"/>
        <item m="1" x="51"/>
        <item m="1" x="113"/>
        <item m="1" x="44"/>
        <item m="1" x="91"/>
        <item m="1" x="41"/>
        <item x="9"/>
        <item m="1" x="104"/>
        <item m="1" x="68"/>
        <item m="1" x="80"/>
        <item m="1" x="37"/>
        <item m="1" x="103"/>
        <item m="1" x="55"/>
        <item m="1" x="54"/>
        <item m="1" x="43"/>
        <item m="1" x="75"/>
        <item x="27"/>
        <item x="4"/>
        <item m="1" x="110"/>
        <item m="1" x="42"/>
        <item x="11"/>
        <item m="1" x="106"/>
        <item m="1" x="33"/>
        <item m="1" x="97"/>
        <item m="1" x="112"/>
        <item x="0"/>
        <item x="6"/>
        <item m="1" x="96"/>
        <item m="1" x="90"/>
        <item m="1" x="89"/>
        <item m="1" x="127"/>
        <item x="7"/>
        <item x="3"/>
        <item m="1" x="35"/>
        <item m="1" x="128"/>
        <item x="19"/>
        <item m="1" x="52"/>
        <item m="1" x="98"/>
        <item m="1" x="92"/>
        <item x="22"/>
        <item x="1"/>
        <item m="1" x="109"/>
        <item m="1" x="67"/>
        <item m="1" x="117"/>
        <item m="1" x="82"/>
        <item x="8"/>
        <item x="10"/>
        <item x="13"/>
        <item x="14"/>
        <item x="15"/>
        <item x="16"/>
        <item x="5"/>
        <item x="21"/>
        <item x="12"/>
        <item x="25"/>
        <item x="26"/>
        <item x="28"/>
        <item t="default"/>
      </items>
    </pivotField>
    <pivotField showAll="0"/>
    <pivotField axis="axisCol" showAll="0">
      <items count="8">
        <item x="0"/>
        <item m="1" x="5"/>
        <item x="3"/>
        <item m="1" x="4"/>
        <item m="1" x="6"/>
        <item x="2"/>
        <item x="1"/>
        <item t="default"/>
      </items>
    </pivotField>
    <pivotField showAll="0"/>
    <pivotField showAll="0"/>
    <pivotField dataField="1" showAll="0"/>
    <pivotField showAll="0"/>
    <pivotField showAll="0"/>
  </pivotFields>
  <rowFields count="2">
    <field x="3"/>
    <field x="4"/>
  </rowFields>
  <rowItems count="14">
    <i>
      <x v="6"/>
      <x v="105"/>
    </i>
    <i>
      <x v="7"/>
      <x v="114"/>
    </i>
    <i>
      <x v="8"/>
      <x v="120"/>
    </i>
    <i>
      <x v="9"/>
      <x v="100"/>
    </i>
    <i>
      <x v="11"/>
      <x v="94"/>
    </i>
    <i>
      <x v="14"/>
      <x v="99"/>
    </i>
    <i>
      <x v="15"/>
      <x v="125"/>
    </i>
    <i>
      <x v="17"/>
      <x v="11"/>
    </i>
    <i>
      <x v="23"/>
      <x v="80"/>
    </i>
    <i>
      <x v="36"/>
      <x v="106"/>
    </i>
    <i>
      <x v="39"/>
      <x v="91"/>
    </i>
    <i>
      <x v="42"/>
      <x v="119"/>
    </i>
    <i>
      <x v="45"/>
      <x v="17"/>
    </i>
    <i t="grand">
      <x/>
    </i>
  </rowItems>
  <colFields count="1">
    <field x="6"/>
  </colFields>
  <colItems count="4">
    <i>
      <x/>
    </i>
    <i>
      <x v="2"/>
    </i>
    <i>
      <x v="6"/>
    </i>
    <i t="grand">
      <x/>
    </i>
  </colItems>
  <pageFields count="2">
    <pageField fld="1" hier="-1"/>
    <pageField fld="2" hier="-1"/>
  </pageFields>
  <dataFields count="1">
    <dataField name="加總 - 奉獻金額" fld="9" baseField="3" baseItem="0" numFmtId="40"/>
  </dataFields>
  <formats count="32">
    <format dxfId="408">
      <pivotArea type="all" dataOnly="0" outline="0" fieldPosition="0"/>
    </format>
    <format dxfId="407">
      <pivotArea outline="0" collapsedLevelsAreSubtotals="1" fieldPosition="0"/>
    </format>
    <format dxfId="406">
      <pivotArea dataOnly="0" labelOnly="1" fieldPosition="0">
        <references count="1">
          <reference field="3" count="16">
            <x v="0"/>
            <x v="1"/>
            <x v="2"/>
            <x v="3"/>
            <x v="4"/>
            <x v="6"/>
            <x v="7"/>
            <x v="8"/>
            <x v="9"/>
            <x v="10"/>
            <x v="11"/>
            <x v="12"/>
            <x v="13"/>
            <x v="15"/>
            <x v="16"/>
            <x v="17"/>
          </reference>
        </references>
      </pivotArea>
    </format>
    <format dxfId="405">
      <pivotArea dataOnly="0" labelOnly="1" grandRow="1" outline="0" fieldPosition="0"/>
    </format>
    <format dxfId="404">
      <pivotArea dataOnly="0" labelOnly="1" fieldPosition="0">
        <references count="2">
          <reference field="3" count="1" selected="0">
            <x v="0"/>
          </reference>
          <reference field="4" count="1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</reference>
        </references>
      </pivotArea>
    </format>
    <format dxfId="403">
      <pivotArea dataOnly="0" labelOnly="1" fieldPosition="0">
        <references count="1">
          <reference field="6" count="0"/>
        </references>
      </pivotArea>
    </format>
    <format dxfId="402">
      <pivotArea dataOnly="0" labelOnly="1" grandCol="1" outline="0" fieldPosition="0"/>
    </format>
    <format dxfId="401">
      <pivotArea dataOnly="0" labelOnly="1" fieldPosition="0">
        <references count="1">
          <reference field="3" count="16">
            <x v="0"/>
            <x v="1"/>
            <x v="2"/>
            <x v="3"/>
            <x v="4"/>
            <x v="6"/>
            <x v="7"/>
            <x v="8"/>
            <x v="9"/>
            <x v="10"/>
            <x v="11"/>
            <x v="12"/>
            <x v="13"/>
            <x v="15"/>
            <x v="16"/>
            <x v="17"/>
          </reference>
        </references>
      </pivotArea>
    </format>
    <format dxfId="400">
      <pivotArea dataOnly="0" labelOnly="1" grandRow="1" outline="0" fieldPosition="0"/>
    </format>
    <format dxfId="399">
      <pivotArea dataOnly="0" labelOnly="1" fieldPosition="0">
        <references count="2">
          <reference field="3" count="1" selected="0">
            <x v="0"/>
          </reference>
          <reference field="4" count="1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</reference>
        </references>
      </pivotArea>
    </format>
    <format dxfId="398">
      <pivotArea dataOnly="0" labelOnly="1" outline="0" fieldPosition="0">
        <references count="1">
          <reference field="1" count="0"/>
        </references>
      </pivotArea>
    </format>
    <format dxfId="397">
      <pivotArea dataOnly="0" outline="0" fieldPosition="0">
        <references count="1">
          <reference field="1" count="0"/>
        </references>
      </pivotArea>
    </format>
    <format dxfId="396">
      <pivotArea collapsedLevelsAreSubtotals="1" fieldPosition="0">
        <references count="3">
          <reference field="3" count="1" selected="0">
            <x v="0"/>
          </reference>
          <reference field="4" count="1">
            <x v="13"/>
          </reference>
          <reference field="6" count="0" selected="0"/>
        </references>
      </pivotArea>
    </format>
    <format dxfId="395">
      <pivotArea collapsedLevelsAreSubtotals="1" fieldPosition="0">
        <references count="3">
          <reference field="3" count="1" selected="0">
            <x v="1"/>
          </reference>
          <reference field="4" count="1">
            <x v="14"/>
          </reference>
          <reference field="6" count="0" selected="0"/>
        </references>
      </pivotArea>
    </format>
    <format dxfId="394">
      <pivotArea collapsedLevelsAreSubtotals="1" fieldPosition="0">
        <references count="3">
          <reference field="3" count="1" selected="0">
            <x v="2"/>
          </reference>
          <reference field="4" count="1">
            <x v="12"/>
          </reference>
          <reference field="6" count="0" selected="0"/>
        </references>
      </pivotArea>
    </format>
    <format dxfId="393">
      <pivotArea collapsedLevelsAreSubtotals="1" fieldPosition="0">
        <references count="3">
          <reference field="3" count="1" selected="0">
            <x v="3"/>
          </reference>
          <reference field="4" count="1">
            <x v="6"/>
          </reference>
          <reference field="6" count="0" selected="0"/>
        </references>
      </pivotArea>
    </format>
    <format dxfId="392">
      <pivotArea collapsedLevelsAreSubtotals="1" fieldPosition="0">
        <references count="3">
          <reference field="3" count="1" selected="0">
            <x v="4"/>
          </reference>
          <reference field="4" count="1">
            <x v="2"/>
          </reference>
          <reference field="6" count="0" selected="0"/>
        </references>
      </pivotArea>
    </format>
    <format dxfId="391">
      <pivotArea collapsedLevelsAreSubtotals="1" fieldPosition="0">
        <references count="3">
          <reference field="3" count="1" selected="0">
            <x v="6"/>
          </reference>
          <reference field="4" count="1">
            <x v="5"/>
          </reference>
          <reference field="6" count="0" selected="0"/>
        </references>
      </pivotArea>
    </format>
    <format dxfId="390">
      <pivotArea collapsedLevelsAreSubtotals="1" fieldPosition="0">
        <references count="3">
          <reference field="3" count="1" selected="0">
            <x v="7"/>
          </reference>
          <reference field="4" count="1">
            <x v="3"/>
          </reference>
          <reference field="6" count="0" selected="0"/>
        </references>
      </pivotArea>
    </format>
    <format dxfId="389">
      <pivotArea collapsedLevelsAreSubtotals="1" fieldPosition="0">
        <references count="3">
          <reference field="3" count="1" selected="0">
            <x v="8"/>
          </reference>
          <reference field="4" count="1">
            <x v="9"/>
          </reference>
          <reference field="6" count="0" selected="0"/>
        </references>
      </pivotArea>
    </format>
    <format dxfId="388">
      <pivotArea collapsedLevelsAreSubtotals="1" fieldPosition="0">
        <references count="3">
          <reference field="3" count="1" selected="0">
            <x v="9"/>
          </reference>
          <reference field="4" count="1">
            <x v="10"/>
          </reference>
          <reference field="6" count="0" selected="0"/>
        </references>
      </pivotArea>
    </format>
    <format dxfId="387">
      <pivotArea collapsedLevelsAreSubtotals="1" fieldPosition="0">
        <references count="3">
          <reference field="3" count="1" selected="0">
            <x v="10"/>
          </reference>
          <reference field="4" count="1">
            <x v="8"/>
          </reference>
          <reference field="6" count="0" selected="0"/>
        </references>
      </pivotArea>
    </format>
    <format dxfId="386">
      <pivotArea collapsedLevelsAreSubtotals="1" fieldPosition="0">
        <references count="3">
          <reference field="3" count="1" selected="0">
            <x v="11"/>
          </reference>
          <reference field="4" count="1">
            <x v="0"/>
          </reference>
          <reference field="6" count="0" selected="0"/>
        </references>
      </pivotArea>
    </format>
    <format dxfId="385">
      <pivotArea collapsedLevelsAreSubtotals="1" fieldPosition="0">
        <references count="3">
          <reference field="3" count="1" selected="0">
            <x v="12"/>
          </reference>
          <reference field="4" count="1">
            <x v="4"/>
          </reference>
          <reference field="6" count="0" selected="0"/>
        </references>
      </pivotArea>
    </format>
    <format dxfId="384">
      <pivotArea collapsedLevelsAreSubtotals="1" fieldPosition="0">
        <references count="3">
          <reference field="3" count="1" selected="0">
            <x v="13"/>
          </reference>
          <reference field="4" count="1">
            <x v="15"/>
          </reference>
          <reference field="6" count="0" selected="0"/>
        </references>
      </pivotArea>
    </format>
    <format dxfId="383">
      <pivotArea collapsedLevelsAreSubtotals="1" fieldPosition="0">
        <references count="3">
          <reference field="3" count="1" selected="0">
            <x v="17"/>
          </reference>
          <reference field="4" count="1">
            <x v="11"/>
          </reference>
          <reference field="6" count="0" selected="0"/>
        </references>
      </pivotArea>
    </format>
    <format dxfId="382">
      <pivotArea field="6" grandRow="1" outline="0" collapsedLevelsAreSubtotals="1" axis="axisCol" fieldPosition="0">
        <references count="1">
          <reference field="6" count="0" selected="0"/>
        </references>
      </pivotArea>
    </format>
    <format dxfId="381">
      <pivotArea dataOnly="0" labelOnly="1" outline="0" fieldPosition="0">
        <references count="1">
          <reference field="2" count="0"/>
        </references>
      </pivotArea>
    </format>
    <format dxfId="380">
      <pivotArea dataOnly="0" labelOnly="1" fieldPosition="0">
        <references count="1">
          <reference field="3" count="6">
            <x v="14"/>
            <x v="15"/>
            <x v="17"/>
            <x v="21"/>
            <x v="27"/>
            <x v="42"/>
          </reference>
        </references>
      </pivotArea>
    </format>
    <format dxfId="379">
      <pivotArea collapsedLevelsAreSubtotals="1" fieldPosition="0">
        <references count="3">
          <reference field="3" count="1" selected="0">
            <x v="17"/>
          </reference>
          <reference field="4" count="1">
            <x v="11"/>
          </reference>
          <reference field="6" count="1" selected="0">
            <x v="0"/>
          </reference>
        </references>
      </pivotArea>
    </format>
    <format dxfId="378">
      <pivotArea collapsedLevelsAreSubtotals="1" fieldPosition="0">
        <references count="3">
          <reference field="3" count="1" selected="0">
            <x v="17"/>
          </reference>
          <reference field="4" count="1">
            <x v="11"/>
          </reference>
          <reference field="6" count="1" selected="0">
            <x v="6"/>
          </reference>
        </references>
      </pivotArea>
    </format>
    <format dxfId="377">
      <pivotArea dataOnly="0" labelOnly="1" fieldPosition="0">
        <references count="1">
          <reference field="3" count="3">
            <x v="23"/>
            <x v="36"/>
            <x v="3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樞紐分析表6" cacheId="0" applyNumberFormats="0" applyBorderFormats="0" applyFontFormats="0" applyPatternFormats="0" applyAlignmentFormats="0" applyWidthHeightFormats="1" dataCaption="數值" updatedVersion="5" minRefreshableVersion="3" useAutoFormatting="1" itemPrintTitles="1" createdVersion="5" indent="0" outline="1" outlineData="1" multipleFieldFilters="0">
  <location ref="C8:F21" firstHeaderRow="1" firstDataRow="2" firstDataCol="2" rowPageCount="2" colPageCount="1"/>
  <pivotFields count="12">
    <pivotField showAll="0"/>
    <pivotField axis="axisPage" multipleItemSelectionAllowed="1" showAll="0">
      <items count="14">
        <item h="1" x="0"/>
        <item x="1"/>
        <item h="1" x="12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t="default"/>
      </items>
    </pivotField>
    <pivotField axis="axisPage" multipleItemSelectionAllowed="1" showAll="0">
      <items count="56">
        <item m="1" x="53"/>
        <item x="1"/>
        <item x="2"/>
        <item x="3"/>
        <item x="4"/>
        <item x="5"/>
        <item x="6"/>
        <item x="52"/>
        <item x="7"/>
        <item x="8"/>
        <item x="9"/>
        <item x="10"/>
        <item x="11"/>
        <item x="12"/>
        <item x="13"/>
        <item x="14"/>
        <item x="15"/>
        <item x="16"/>
        <item x="17"/>
        <item x="19"/>
        <item x="20"/>
        <item x="21"/>
        <item x="51"/>
        <item x="22"/>
        <item x="23"/>
        <item x="25"/>
        <item m="1" x="54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0"/>
        <item x="18"/>
        <item x="43"/>
        <item x="44"/>
        <item x="45"/>
        <item x="46"/>
        <item x="24"/>
        <item x="47"/>
        <item x="48"/>
        <item x="49"/>
        <item x="50"/>
        <item t="default"/>
      </items>
    </pivotField>
    <pivotField axis="axisRow" outline="0" showAll="0" sortType="ascending" defaultSubtotal="0">
      <items count="46">
        <item m="1" x="36"/>
        <item x="15"/>
        <item m="1" x="38"/>
        <item m="1" x="28"/>
        <item x="22"/>
        <item x="18"/>
        <item x="7"/>
        <item x="1"/>
        <item x="10"/>
        <item x="6"/>
        <item x="12"/>
        <item x="11"/>
        <item m="1" x="29"/>
        <item m="1" x="30"/>
        <item x="0"/>
        <item x="5"/>
        <item x="24"/>
        <item x="2"/>
        <item m="1" x="32"/>
        <item m="1" x="34"/>
        <item m="1" x="37"/>
        <item x="16"/>
        <item x="23"/>
        <item x="9"/>
        <item m="1" x="41"/>
        <item m="1" x="42"/>
        <item m="1" x="43"/>
        <item m="1" x="44"/>
        <item m="1" x="45"/>
        <item m="1" x="31"/>
        <item m="1" x="33"/>
        <item m="1" x="26"/>
        <item m="1" x="35"/>
        <item m="1" x="27"/>
        <item m="1" x="39"/>
        <item x="20"/>
        <item x="3"/>
        <item x="21"/>
        <item m="1" x="40"/>
        <item x="4"/>
        <item x="17"/>
        <item x="19"/>
        <item x="8"/>
        <item x="13"/>
        <item x="14"/>
        <item x="25"/>
      </items>
    </pivotField>
    <pivotField axis="axisRow" showAll="0">
      <items count="132">
        <item m="1" x="116"/>
        <item m="1" x="79"/>
        <item x="24"/>
        <item m="1" x="107"/>
        <item m="1" x="63"/>
        <item m="1" x="38"/>
        <item m="1" x="126"/>
        <item m="1" x="85"/>
        <item m="1" x="48"/>
        <item m="1" x="105"/>
        <item m="1" x="49"/>
        <item x="2"/>
        <item m="1" x="77"/>
        <item m="1" x="111"/>
        <item m="1" x="114"/>
        <item m="1" x="95"/>
        <item x="30"/>
        <item x="31"/>
        <item x="18"/>
        <item m="1" x="60"/>
        <item m="1" x="84"/>
        <item m="1" x="64"/>
        <item m="1" x="108"/>
        <item m="1" x="62"/>
        <item m="1" x="61"/>
        <item m="1" x="125"/>
        <item m="1" x="121"/>
        <item m="1" x="118"/>
        <item m="1" x="71"/>
        <item m="1" x="101"/>
        <item m="1" x="94"/>
        <item m="1" x="66"/>
        <item m="1" x="120"/>
        <item m="1" x="73"/>
        <item m="1" x="57"/>
        <item m="1" x="59"/>
        <item m="1" x="129"/>
        <item m="1" x="65"/>
        <item x="29"/>
        <item m="1" x="93"/>
        <item m="1" x="102"/>
        <item m="1" x="40"/>
        <item m="1" x="74"/>
        <item m="1" x="119"/>
        <item m="1" x="45"/>
        <item m="1" x="32"/>
        <item m="1" x="76"/>
        <item m="1" x="99"/>
        <item m="1" x="56"/>
        <item m="1" x="69"/>
        <item m="1" x="34"/>
        <item m="1" x="100"/>
        <item m="1" x="83"/>
        <item x="17"/>
        <item x="20"/>
        <item m="1" x="58"/>
        <item m="1" x="122"/>
        <item m="1" x="47"/>
        <item m="1" x="87"/>
        <item m="1" x="46"/>
        <item m="1" x="50"/>
        <item m="1" x="88"/>
        <item m="1" x="81"/>
        <item m="1" x="53"/>
        <item m="1" x="123"/>
        <item m="1" x="39"/>
        <item m="1" x="86"/>
        <item m="1" x="70"/>
        <item m="1" x="78"/>
        <item m="1" x="36"/>
        <item m="1" x="72"/>
        <item m="1" x="130"/>
        <item x="23"/>
        <item m="1" x="115"/>
        <item m="1" x="124"/>
        <item m="1" x="51"/>
        <item m="1" x="113"/>
        <item m="1" x="44"/>
        <item m="1" x="91"/>
        <item m="1" x="41"/>
        <item x="9"/>
        <item m="1" x="104"/>
        <item m="1" x="68"/>
        <item m="1" x="80"/>
        <item m="1" x="37"/>
        <item m="1" x="103"/>
        <item m="1" x="55"/>
        <item m="1" x="54"/>
        <item m="1" x="43"/>
        <item m="1" x="75"/>
        <item x="27"/>
        <item x="4"/>
        <item m="1" x="110"/>
        <item m="1" x="42"/>
        <item x="11"/>
        <item m="1" x="106"/>
        <item m="1" x="33"/>
        <item m="1" x="97"/>
        <item m="1" x="112"/>
        <item x="0"/>
        <item x="6"/>
        <item m="1" x="96"/>
        <item m="1" x="90"/>
        <item m="1" x="89"/>
        <item m="1" x="127"/>
        <item x="7"/>
        <item x="3"/>
        <item m="1" x="35"/>
        <item m="1" x="128"/>
        <item x="19"/>
        <item m="1" x="52"/>
        <item m="1" x="98"/>
        <item m="1" x="92"/>
        <item x="22"/>
        <item x="1"/>
        <item m="1" x="109"/>
        <item m="1" x="67"/>
        <item m="1" x="117"/>
        <item m="1" x="82"/>
        <item x="8"/>
        <item x="10"/>
        <item x="13"/>
        <item x="14"/>
        <item x="15"/>
        <item x="16"/>
        <item x="5"/>
        <item x="21"/>
        <item x="12"/>
        <item x="25"/>
        <item x="26"/>
        <item x="28"/>
        <item t="default"/>
      </items>
    </pivotField>
    <pivotField showAll="0"/>
    <pivotField axis="axisCol" showAll="0">
      <items count="8">
        <item x="0"/>
        <item m="1" x="5"/>
        <item x="3"/>
        <item m="1" x="4"/>
        <item m="1" x="6"/>
        <item x="2"/>
        <item x="1"/>
        <item t="default"/>
      </items>
    </pivotField>
    <pivotField showAll="0"/>
    <pivotField showAll="0"/>
    <pivotField dataField="1" showAll="0"/>
    <pivotField showAll="0"/>
    <pivotField showAll="0"/>
  </pivotFields>
  <rowFields count="2">
    <field x="3"/>
    <field x="4"/>
  </rowFields>
  <rowItems count="12">
    <i>
      <x v="6"/>
      <x v="105"/>
    </i>
    <i>
      <x v="7"/>
      <x v="114"/>
    </i>
    <i>
      <x v="8"/>
      <x v="120"/>
    </i>
    <i>
      <x v="9"/>
      <x v="100"/>
    </i>
    <i>
      <x v="10"/>
      <x v="127"/>
    </i>
    <i>
      <x v="11"/>
      <x v="94"/>
    </i>
    <i>
      <x v="15"/>
      <x v="125"/>
    </i>
    <i>
      <x v="17"/>
      <x v="11"/>
    </i>
    <i>
      <x v="36"/>
      <x v="106"/>
    </i>
    <i>
      <x v="42"/>
      <x v="122"/>
    </i>
    <i>
      <x v="43"/>
      <x v="121"/>
    </i>
    <i t="grand">
      <x/>
    </i>
  </rowItems>
  <colFields count="1">
    <field x="6"/>
  </colFields>
  <colItems count="2">
    <i>
      <x/>
    </i>
    <i t="grand">
      <x/>
    </i>
  </colItems>
  <pageFields count="2">
    <pageField fld="1" hier="-1"/>
    <pageField fld="2" hier="-1"/>
  </pageFields>
  <dataFields count="1">
    <dataField name="加總 - 奉獻金額" fld="9" baseField="3" baseItem="0" numFmtId="40"/>
  </dataFields>
  <formats count="28">
    <format dxfId="376">
      <pivotArea type="all" dataOnly="0" outline="0" fieldPosition="0"/>
    </format>
    <format dxfId="375">
      <pivotArea outline="0" collapsedLevelsAreSubtotals="1" fieldPosition="0"/>
    </format>
    <format dxfId="374">
      <pivotArea dataOnly="0" labelOnly="1" fieldPosition="0">
        <references count="1">
          <reference field="3" count="16">
            <x v="0"/>
            <x v="1"/>
            <x v="2"/>
            <x v="3"/>
            <x v="4"/>
            <x v="6"/>
            <x v="7"/>
            <x v="8"/>
            <x v="9"/>
            <x v="10"/>
            <x v="11"/>
            <x v="12"/>
            <x v="13"/>
            <x v="15"/>
            <x v="16"/>
            <x v="17"/>
          </reference>
        </references>
      </pivotArea>
    </format>
    <format dxfId="373">
      <pivotArea dataOnly="0" labelOnly="1" grandRow="1" outline="0" fieldPosition="0"/>
    </format>
    <format dxfId="372">
      <pivotArea dataOnly="0" labelOnly="1" fieldPosition="0">
        <references count="2">
          <reference field="3" count="1" selected="0">
            <x v="0"/>
          </reference>
          <reference field="4" count="1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</reference>
        </references>
      </pivotArea>
    </format>
    <format dxfId="371">
      <pivotArea dataOnly="0" labelOnly="1" fieldPosition="0">
        <references count="1">
          <reference field="6" count="0"/>
        </references>
      </pivotArea>
    </format>
    <format dxfId="370">
      <pivotArea dataOnly="0" labelOnly="1" grandCol="1" outline="0" fieldPosition="0"/>
    </format>
    <format dxfId="369">
      <pivotArea dataOnly="0" labelOnly="1" fieldPosition="0">
        <references count="1">
          <reference field="3" count="16">
            <x v="0"/>
            <x v="1"/>
            <x v="2"/>
            <x v="3"/>
            <x v="4"/>
            <x v="6"/>
            <x v="7"/>
            <x v="8"/>
            <x v="9"/>
            <x v="10"/>
            <x v="11"/>
            <x v="12"/>
            <x v="13"/>
            <x v="15"/>
            <x v="16"/>
            <x v="17"/>
          </reference>
        </references>
      </pivotArea>
    </format>
    <format dxfId="368">
      <pivotArea dataOnly="0" labelOnly="1" grandRow="1" outline="0" fieldPosition="0"/>
    </format>
    <format dxfId="367">
      <pivotArea dataOnly="0" labelOnly="1" fieldPosition="0">
        <references count="2">
          <reference field="3" count="1" selected="0">
            <x v="0"/>
          </reference>
          <reference field="4" count="1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</reference>
        </references>
      </pivotArea>
    </format>
    <format dxfId="366">
      <pivotArea dataOnly="0" labelOnly="1" outline="0" fieldPosition="0">
        <references count="1">
          <reference field="1" count="0"/>
        </references>
      </pivotArea>
    </format>
    <format dxfId="365">
      <pivotArea dataOnly="0" outline="0" fieldPosition="0">
        <references count="1">
          <reference field="1" count="0"/>
        </references>
      </pivotArea>
    </format>
    <format dxfId="364">
      <pivotArea collapsedLevelsAreSubtotals="1" fieldPosition="0">
        <references count="3">
          <reference field="3" count="1" selected="0">
            <x v="0"/>
          </reference>
          <reference field="4" count="1">
            <x v="13"/>
          </reference>
          <reference field="6" count="0" selected="0"/>
        </references>
      </pivotArea>
    </format>
    <format dxfId="363">
      <pivotArea collapsedLevelsAreSubtotals="1" fieldPosition="0">
        <references count="3">
          <reference field="3" count="1" selected="0">
            <x v="1"/>
          </reference>
          <reference field="4" count="1">
            <x v="14"/>
          </reference>
          <reference field="6" count="0" selected="0"/>
        </references>
      </pivotArea>
    </format>
    <format dxfId="362">
      <pivotArea collapsedLevelsAreSubtotals="1" fieldPosition="0">
        <references count="3">
          <reference field="3" count="1" selected="0">
            <x v="2"/>
          </reference>
          <reference field="4" count="1">
            <x v="12"/>
          </reference>
          <reference field="6" count="0" selected="0"/>
        </references>
      </pivotArea>
    </format>
    <format dxfId="361">
      <pivotArea collapsedLevelsAreSubtotals="1" fieldPosition="0">
        <references count="3">
          <reference field="3" count="1" selected="0">
            <x v="3"/>
          </reference>
          <reference field="4" count="1">
            <x v="6"/>
          </reference>
          <reference field="6" count="0" selected="0"/>
        </references>
      </pivotArea>
    </format>
    <format dxfId="360">
      <pivotArea collapsedLevelsAreSubtotals="1" fieldPosition="0">
        <references count="3">
          <reference field="3" count="1" selected="0">
            <x v="4"/>
          </reference>
          <reference field="4" count="1">
            <x v="2"/>
          </reference>
          <reference field="6" count="0" selected="0"/>
        </references>
      </pivotArea>
    </format>
    <format dxfId="359">
      <pivotArea collapsedLevelsAreSubtotals="1" fieldPosition="0">
        <references count="3">
          <reference field="3" count="1" selected="0">
            <x v="6"/>
          </reference>
          <reference field="4" count="1">
            <x v="5"/>
          </reference>
          <reference field="6" count="0" selected="0"/>
        </references>
      </pivotArea>
    </format>
    <format dxfId="358">
      <pivotArea collapsedLevelsAreSubtotals="1" fieldPosition="0">
        <references count="3">
          <reference field="3" count="1" selected="0">
            <x v="7"/>
          </reference>
          <reference field="4" count="1">
            <x v="3"/>
          </reference>
          <reference field="6" count="0" selected="0"/>
        </references>
      </pivotArea>
    </format>
    <format dxfId="357">
      <pivotArea collapsedLevelsAreSubtotals="1" fieldPosition="0">
        <references count="3">
          <reference field="3" count="1" selected="0">
            <x v="8"/>
          </reference>
          <reference field="4" count="1">
            <x v="9"/>
          </reference>
          <reference field="6" count="0" selected="0"/>
        </references>
      </pivotArea>
    </format>
    <format dxfId="356">
      <pivotArea collapsedLevelsAreSubtotals="1" fieldPosition="0">
        <references count="3">
          <reference field="3" count="1" selected="0">
            <x v="9"/>
          </reference>
          <reference field="4" count="1">
            <x v="10"/>
          </reference>
          <reference field="6" count="0" selected="0"/>
        </references>
      </pivotArea>
    </format>
    <format dxfId="355">
      <pivotArea collapsedLevelsAreSubtotals="1" fieldPosition="0">
        <references count="3">
          <reference field="3" count="1" selected="0">
            <x v="10"/>
          </reference>
          <reference field="4" count="1">
            <x v="8"/>
          </reference>
          <reference field="6" count="0" selected="0"/>
        </references>
      </pivotArea>
    </format>
    <format dxfId="354">
      <pivotArea collapsedLevelsAreSubtotals="1" fieldPosition="0">
        <references count="3">
          <reference field="3" count="1" selected="0">
            <x v="11"/>
          </reference>
          <reference field="4" count="1">
            <x v="0"/>
          </reference>
          <reference field="6" count="0" selected="0"/>
        </references>
      </pivotArea>
    </format>
    <format dxfId="353">
      <pivotArea collapsedLevelsAreSubtotals="1" fieldPosition="0">
        <references count="3">
          <reference field="3" count="1" selected="0">
            <x v="12"/>
          </reference>
          <reference field="4" count="1">
            <x v="4"/>
          </reference>
          <reference field="6" count="0" selected="0"/>
        </references>
      </pivotArea>
    </format>
    <format dxfId="352">
      <pivotArea collapsedLevelsAreSubtotals="1" fieldPosition="0">
        <references count="3">
          <reference field="3" count="1" selected="0">
            <x v="13"/>
          </reference>
          <reference field="4" count="1">
            <x v="15"/>
          </reference>
          <reference field="6" count="0" selected="0"/>
        </references>
      </pivotArea>
    </format>
    <format dxfId="351">
      <pivotArea collapsedLevelsAreSubtotals="1" fieldPosition="0">
        <references count="3">
          <reference field="3" count="1" selected="0">
            <x v="17"/>
          </reference>
          <reference field="4" count="1">
            <x v="11"/>
          </reference>
          <reference field="6" count="0" selected="0"/>
        </references>
      </pivotArea>
    </format>
    <format dxfId="350">
      <pivotArea field="6" grandRow="1" outline="0" collapsedLevelsAreSubtotals="1" axis="axisCol" fieldPosition="0">
        <references count="1">
          <reference field="6" count="0" selected="0"/>
        </references>
      </pivotArea>
    </format>
    <format dxfId="349">
      <pivotArea dataOnly="0" labelOnly="1" outline="0" fieldPosition="0">
        <references count="1">
          <reference field="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樞紐分析表4" cacheId="0" applyNumberFormats="0" applyBorderFormats="0" applyFontFormats="0" applyPatternFormats="0" applyAlignmentFormats="0" applyWidthHeightFormats="1" dataCaption="數值" updatedVersion="5" minRefreshableVersion="3" useAutoFormatting="1" itemPrintTitles="1" createdVersion="5" indent="0" outline="1" outlineData="1" multipleFieldFilters="0">
  <location ref="C9:F29" firstHeaderRow="1" firstDataRow="2" firstDataCol="2" rowPageCount="2" colPageCount="1"/>
  <pivotFields count="12">
    <pivotField showAll="0"/>
    <pivotField axis="axisPage" multipleItemSelectionAllowed="1" showAll="0">
      <items count="14">
        <item h="1" x="0"/>
        <item h="1" x="1"/>
        <item h="1" x="12"/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  <item t="default"/>
      </items>
    </pivotField>
    <pivotField axis="axisPage" multipleItemSelectionAllowed="1" showAll="0">
      <items count="56">
        <item m="1" x="53"/>
        <item x="1"/>
        <item x="2"/>
        <item x="3"/>
        <item x="4"/>
        <item x="5"/>
        <item x="6"/>
        <item x="52"/>
        <item x="7"/>
        <item x="8"/>
        <item x="9"/>
        <item x="10"/>
        <item x="11"/>
        <item x="12"/>
        <item x="13"/>
        <item x="14"/>
        <item x="15"/>
        <item x="16"/>
        <item x="17"/>
        <item x="19"/>
        <item x="20"/>
        <item x="21"/>
        <item x="51"/>
        <item x="22"/>
        <item x="23"/>
        <item x="25"/>
        <item m="1" x="54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0"/>
        <item x="18"/>
        <item x="43"/>
        <item x="44"/>
        <item x="45"/>
        <item x="46"/>
        <item x="24"/>
        <item x="47"/>
        <item x="48"/>
        <item x="49"/>
        <item x="50"/>
        <item t="default"/>
      </items>
    </pivotField>
    <pivotField axis="axisRow" outline="0" showAll="0" sortType="ascending" defaultSubtotal="0">
      <items count="46">
        <item m="1" x="36"/>
        <item x="15"/>
        <item m="1" x="38"/>
        <item m="1" x="28"/>
        <item x="22"/>
        <item x="18"/>
        <item x="7"/>
        <item x="1"/>
        <item x="10"/>
        <item x="6"/>
        <item x="12"/>
        <item x="11"/>
        <item m="1" x="29"/>
        <item m="1" x="30"/>
        <item x="0"/>
        <item x="5"/>
        <item x="24"/>
        <item x="2"/>
        <item m="1" x="32"/>
        <item m="1" x="34"/>
        <item m="1" x="37"/>
        <item x="16"/>
        <item x="23"/>
        <item x="9"/>
        <item m="1" x="41"/>
        <item m="1" x="42"/>
        <item m="1" x="43"/>
        <item m="1" x="44"/>
        <item m="1" x="45"/>
        <item m="1" x="31"/>
        <item m="1" x="33"/>
        <item m="1" x="26"/>
        <item m="1" x="35"/>
        <item m="1" x="27"/>
        <item m="1" x="39"/>
        <item x="20"/>
        <item x="3"/>
        <item x="21"/>
        <item m="1" x="40"/>
        <item x="4"/>
        <item x="17"/>
        <item x="19"/>
        <item x="8"/>
        <item x="13"/>
        <item x="14"/>
        <item x="25"/>
      </items>
    </pivotField>
    <pivotField axis="axisRow" showAll="0">
      <items count="132">
        <item m="1" x="116"/>
        <item m="1" x="79"/>
        <item x="24"/>
        <item m="1" x="107"/>
        <item m="1" x="63"/>
        <item m="1" x="38"/>
        <item m="1" x="126"/>
        <item m="1" x="85"/>
        <item m="1" x="48"/>
        <item m="1" x="105"/>
        <item m="1" x="49"/>
        <item x="2"/>
        <item m="1" x="77"/>
        <item m="1" x="111"/>
        <item m="1" x="114"/>
        <item m="1" x="95"/>
        <item x="30"/>
        <item x="31"/>
        <item x="18"/>
        <item m="1" x="60"/>
        <item m="1" x="84"/>
        <item m="1" x="64"/>
        <item m="1" x="108"/>
        <item m="1" x="62"/>
        <item m="1" x="61"/>
        <item m="1" x="125"/>
        <item m="1" x="121"/>
        <item m="1" x="118"/>
        <item m="1" x="71"/>
        <item m="1" x="101"/>
        <item m="1" x="94"/>
        <item m="1" x="66"/>
        <item m="1" x="120"/>
        <item m="1" x="73"/>
        <item m="1" x="57"/>
        <item m="1" x="59"/>
        <item m="1" x="129"/>
        <item m="1" x="65"/>
        <item x="29"/>
        <item m="1" x="93"/>
        <item m="1" x="102"/>
        <item m="1" x="40"/>
        <item m="1" x="74"/>
        <item m="1" x="119"/>
        <item m="1" x="45"/>
        <item m="1" x="32"/>
        <item m="1" x="76"/>
        <item m="1" x="99"/>
        <item m="1" x="56"/>
        <item m="1" x="69"/>
        <item m="1" x="34"/>
        <item m="1" x="100"/>
        <item m="1" x="83"/>
        <item x="17"/>
        <item x="20"/>
        <item m="1" x="58"/>
        <item m="1" x="122"/>
        <item m="1" x="47"/>
        <item m="1" x="87"/>
        <item m="1" x="46"/>
        <item m="1" x="50"/>
        <item m="1" x="88"/>
        <item m="1" x="81"/>
        <item m="1" x="53"/>
        <item m="1" x="123"/>
        <item m="1" x="39"/>
        <item m="1" x="86"/>
        <item m="1" x="70"/>
        <item m="1" x="78"/>
        <item m="1" x="36"/>
        <item m="1" x="72"/>
        <item m="1" x="130"/>
        <item x="23"/>
        <item m="1" x="115"/>
        <item m="1" x="124"/>
        <item m="1" x="51"/>
        <item m="1" x="113"/>
        <item m="1" x="44"/>
        <item m="1" x="91"/>
        <item m="1" x="41"/>
        <item x="9"/>
        <item m="1" x="104"/>
        <item m="1" x="68"/>
        <item m="1" x="80"/>
        <item m="1" x="37"/>
        <item m="1" x="103"/>
        <item m="1" x="55"/>
        <item m="1" x="54"/>
        <item m="1" x="43"/>
        <item m="1" x="75"/>
        <item x="27"/>
        <item x="4"/>
        <item m="1" x="110"/>
        <item m="1" x="42"/>
        <item x="11"/>
        <item m="1" x="106"/>
        <item m="1" x="33"/>
        <item m="1" x="97"/>
        <item m="1" x="112"/>
        <item x="0"/>
        <item x="6"/>
        <item m="1" x="96"/>
        <item m="1" x="90"/>
        <item m="1" x="89"/>
        <item m="1" x="127"/>
        <item x="7"/>
        <item x="3"/>
        <item m="1" x="35"/>
        <item m="1" x="128"/>
        <item x="19"/>
        <item m="1" x="52"/>
        <item m="1" x="98"/>
        <item m="1" x="92"/>
        <item x="22"/>
        <item x="1"/>
        <item m="1" x="109"/>
        <item m="1" x="67"/>
        <item m="1" x="117"/>
        <item m="1" x="82"/>
        <item x="8"/>
        <item x="10"/>
        <item x="13"/>
        <item x="14"/>
        <item x="15"/>
        <item x="16"/>
        <item x="5"/>
        <item x="21"/>
        <item x="12"/>
        <item x="25"/>
        <item x="26"/>
        <item x="28"/>
        <item t="default"/>
      </items>
    </pivotField>
    <pivotField showAll="0"/>
    <pivotField axis="axisCol" showAll="0">
      <items count="8">
        <item x="0"/>
        <item m="1" x="5"/>
        <item x="3"/>
        <item m="1" x="4"/>
        <item m="1" x="6"/>
        <item x="2"/>
        <item x="1"/>
        <item t="default"/>
      </items>
    </pivotField>
    <pivotField showAll="0"/>
    <pivotField showAll="0"/>
    <pivotField dataField="1" showAll="0"/>
    <pivotField showAll="0"/>
    <pivotField showAll="0"/>
  </pivotFields>
  <rowFields count="2">
    <field x="3"/>
    <field x="4"/>
  </rowFields>
  <rowItems count="19">
    <i>
      <x v="1"/>
      <x v="53"/>
    </i>
    <i>
      <x v="5"/>
      <x v="54"/>
    </i>
    <i>
      <x v="6"/>
      <x v="105"/>
    </i>
    <i>
      <x v="7"/>
      <x v="114"/>
    </i>
    <i>
      <x v="9"/>
      <x v="100"/>
    </i>
    <i>
      <x v="10"/>
      <x v="127"/>
    </i>
    <i>
      <x v="11"/>
      <x v="94"/>
    </i>
    <i>
      <x v="15"/>
      <x v="125"/>
    </i>
    <i>
      <x v="17"/>
      <x v="11"/>
    </i>
    <i>
      <x v="21"/>
      <x v="18"/>
    </i>
    <i>
      <x v="35"/>
      <x v="113"/>
    </i>
    <i>
      <x v="36"/>
      <x v="106"/>
    </i>
    <i>
      <x v="39"/>
      <x v="91"/>
    </i>
    <i>
      <x v="40"/>
      <x v="109"/>
    </i>
    <i>
      <x v="41"/>
      <x v="126"/>
    </i>
    <i>
      <x v="42"/>
      <x v="124"/>
    </i>
    <i>
      <x v="43"/>
      <x v="121"/>
    </i>
    <i>
      <x v="44"/>
      <x v="123"/>
    </i>
    <i t="grand">
      <x/>
    </i>
  </rowItems>
  <colFields count="1">
    <field x="6"/>
  </colFields>
  <colItems count="2">
    <i>
      <x/>
    </i>
    <i t="grand">
      <x/>
    </i>
  </colItems>
  <pageFields count="2">
    <pageField fld="1" hier="-1"/>
    <pageField fld="2" hier="-1"/>
  </pageFields>
  <dataFields count="1">
    <dataField name="加總 - 奉獻金額" fld="9" baseField="3" baseItem="0" numFmtId="40"/>
  </dataFields>
  <formats count="37">
    <format dxfId="348">
      <pivotArea type="all" dataOnly="0" outline="0" fieldPosition="0"/>
    </format>
    <format dxfId="347">
      <pivotArea outline="0" collapsedLevelsAreSubtotals="1" fieldPosition="0"/>
    </format>
    <format dxfId="346">
      <pivotArea dataOnly="0" labelOnly="1" fieldPosition="0">
        <references count="1">
          <reference field="3" count="16">
            <x v="0"/>
            <x v="1"/>
            <x v="2"/>
            <x v="3"/>
            <x v="4"/>
            <x v="6"/>
            <x v="7"/>
            <x v="8"/>
            <x v="9"/>
            <x v="10"/>
            <x v="11"/>
            <x v="12"/>
            <x v="13"/>
            <x v="15"/>
            <x v="16"/>
            <x v="17"/>
          </reference>
        </references>
      </pivotArea>
    </format>
    <format dxfId="345">
      <pivotArea dataOnly="0" labelOnly="1" grandRow="1" outline="0" fieldPosition="0"/>
    </format>
    <format dxfId="344">
      <pivotArea dataOnly="0" labelOnly="1" fieldPosition="0">
        <references count="2">
          <reference field="3" count="1" selected="0">
            <x v="0"/>
          </reference>
          <reference field="4" count="1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</reference>
        </references>
      </pivotArea>
    </format>
    <format dxfId="343">
      <pivotArea dataOnly="0" labelOnly="1" fieldPosition="0">
        <references count="1">
          <reference field="6" count="0"/>
        </references>
      </pivotArea>
    </format>
    <format dxfId="342">
      <pivotArea dataOnly="0" labelOnly="1" grandCol="1" outline="0" fieldPosition="0"/>
    </format>
    <format dxfId="341">
      <pivotArea dataOnly="0" labelOnly="1" fieldPosition="0">
        <references count="1">
          <reference field="3" count="16">
            <x v="0"/>
            <x v="1"/>
            <x v="2"/>
            <x v="3"/>
            <x v="4"/>
            <x v="6"/>
            <x v="7"/>
            <x v="8"/>
            <x v="9"/>
            <x v="10"/>
            <x v="11"/>
            <x v="12"/>
            <x v="13"/>
            <x v="15"/>
            <x v="16"/>
            <x v="17"/>
          </reference>
        </references>
      </pivotArea>
    </format>
    <format dxfId="340">
      <pivotArea dataOnly="0" labelOnly="1" grandRow="1" outline="0" fieldPosition="0"/>
    </format>
    <format dxfId="339">
      <pivotArea dataOnly="0" labelOnly="1" fieldPosition="0">
        <references count="2">
          <reference field="3" count="1" selected="0">
            <x v="0"/>
          </reference>
          <reference field="4" count="1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</reference>
        </references>
      </pivotArea>
    </format>
    <format dxfId="338">
      <pivotArea dataOnly="0" labelOnly="1" outline="0" fieldPosition="0">
        <references count="1">
          <reference field="1" count="0"/>
        </references>
      </pivotArea>
    </format>
    <format dxfId="337">
      <pivotArea dataOnly="0" outline="0" fieldPosition="0">
        <references count="1">
          <reference field="1" count="0"/>
        </references>
      </pivotArea>
    </format>
    <format dxfId="336">
      <pivotArea collapsedLevelsAreSubtotals="1" fieldPosition="0">
        <references count="3">
          <reference field="3" count="1" selected="0">
            <x v="0"/>
          </reference>
          <reference field="4" count="1">
            <x v="13"/>
          </reference>
          <reference field="6" count="0" selected="0"/>
        </references>
      </pivotArea>
    </format>
    <format dxfId="335">
      <pivotArea collapsedLevelsAreSubtotals="1" fieldPosition="0">
        <references count="3">
          <reference field="3" count="1" selected="0">
            <x v="1"/>
          </reference>
          <reference field="4" count="1">
            <x v="14"/>
          </reference>
          <reference field="6" count="0" selected="0"/>
        </references>
      </pivotArea>
    </format>
    <format dxfId="334">
      <pivotArea collapsedLevelsAreSubtotals="1" fieldPosition="0">
        <references count="3">
          <reference field="3" count="1" selected="0">
            <x v="2"/>
          </reference>
          <reference field="4" count="1">
            <x v="12"/>
          </reference>
          <reference field="6" count="0" selected="0"/>
        </references>
      </pivotArea>
    </format>
    <format dxfId="333">
      <pivotArea collapsedLevelsAreSubtotals="1" fieldPosition="0">
        <references count="3">
          <reference field="3" count="1" selected="0">
            <x v="3"/>
          </reference>
          <reference field="4" count="1">
            <x v="6"/>
          </reference>
          <reference field="6" count="0" selected="0"/>
        </references>
      </pivotArea>
    </format>
    <format dxfId="332">
      <pivotArea collapsedLevelsAreSubtotals="1" fieldPosition="0">
        <references count="3">
          <reference field="3" count="1" selected="0">
            <x v="4"/>
          </reference>
          <reference field="4" count="1">
            <x v="2"/>
          </reference>
          <reference field="6" count="0" selected="0"/>
        </references>
      </pivotArea>
    </format>
    <format dxfId="331">
      <pivotArea collapsedLevelsAreSubtotals="1" fieldPosition="0">
        <references count="3">
          <reference field="3" count="1" selected="0">
            <x v="6"/>
          </reference>
          <reference field="4" count="1">
            <x v="5"/>
          </reference>
          <reference field="6" count="0" selected="0"/>
        </references>
      </pivotArea>
    </format>
    <format dxfId="330">
      <pivotArea collapsedLevelsAreSubtotals="1" fieldPosition="0">
        <references count="3">
          <reference field="3" count="1" selected="0">
            <x v="7"/>
          </reference>
          <reference field="4" count="1">
            <x v="3"/>
          </reference>
          <reference field="6" count="0" selected="0"/>
        </references>
      </pivotArea>
    </format>
    <format dxfId="329">
      <pivotArea collapsedLevelsAreSubtotals="1" fieldPosition="0">
        <references count="3">
          <reference field="3" count="1" selected="0">
            <x v="8"/>
          </reference>
          <reference field="4" count="1">
            <x v="9"/>
          </reference>
          <reference field="6" count="0" selected="0"/>
        </references>
      </pivotArea>
    </format>
    <format dxfId="328">
      <pivotArea collapsedLevelsAreSubtotals="1" fieldPosition="0">
        <references count="3">
          <reference field="3" count="1" selected="0">
            <x v="9"/>
          </reference>
          <reference field="4" count="1">
            <x v="10"/>
          </reference>
          <reference field="6" count="0" selected="0"/>
        </references>
      </pivotArea>
    </format>
    <format dxfId="327">
      <pivotArea collapsedLevelsAreSubtotals="1" fieldPosition="0">
        <references count="3">
          <reference field="3" count="1" selected="0">
            <x v="10"/>
          </reference>
          <reference field="4" count="1">
            <x v="8"/>
          </reference>
          <reference field="6" count="0" selected="0"/>
        </references>
      </pivotArea>
    </format>
    <format dxfId="326">
      <pivotArea collapsedLevelsAreSubtotals="1" fieldPosition="0">
        <references count="3">
          <reference field="3" count="1" selected="0">
            <x v="11"/>
          </reference>
          <reference field="4" count="1">
            <x v="0"/>
          </reference>
          <reference field="6" count="0" selected="0"/>
        </references>
      </pivotArea>
    </format>
    <format dxfId="325">
      <pivotArea collapsedLevelsAreSubtotals="1" fieldPosition="0">
        <references count="3">
          <reference field="3" count="1" selected="0">
            <x v="12"/>
          </reference>
          <reference field="4" count="1">
            <x v="4"/>
          </reference>
          <reference field="6" count="0" selected="0"/>
        </references>
      </pivotArea>
    </format>
    <format dxfId="324">
      <pivotArea collapsedLevelsAreSubtotals="1" fieldPosition="0">
        <references count="3">
          <reference field="3" count="1" selected="0">
            <x v="13"/>
          </reference>
          <reference field="4" count="1">
            <x v="15"/>
          </reference>
          <reference field="6" count="0" selected="0"/>
        </references>
      </pivotArea>
    </format>
    <format dxfId="323">
      <pivotArea collapsedLevelsAreSubtotals="1" fieldPosition="0">
        <references count="3">
          <reference field="3" count="1" selected="0">
            <x v="17"/>
          </reference>
          <reference field="4" count="1">
            <x v="11"/>
          </reference>
          <reference field="6" count="0" selected="0"/>
        </references>
      </pivotArea>
    </format>
    <format dxfId="322">
      <pivotArea field="6" grandRow="1" outline="0" collapsedLevelsAreSubtotals="1" axis="axisCol" fieldPosition="0">
        <references count="1">
          <reference field="6" count="0" selected="0"/>
        </references>
      </pivotArea>
    </format>
    <format dxfId="321">
      <pivotArea dataOnly="0" labelOnly="1" outline="0" fieldPosition="0">
        <references count="1">
          <reference field="2" count="0"/>
        </references>
      </pivotArea>
    </format>
    <format dxfId="320">
      <pivotArea dataOnly="0" labelOnly="1" fieldPosition="0">
        <references count="1">
          <reference field="3" count="15">
            <x v="0"/>
            <x v="1"/>
            <x v="2"/>
            <x v="6"/>
            <x v="9"/>
            <x v="10"/>
            <x v="15"/>
            <x v="17"/>
            <x v="18"/>
            <x v="19"/>
            <x v="20"/>
            <x v="21"/>
            <x v="22"/>
            <x v="23"/>
            <x v="24"/>
          </reference>
        </references>
      </pivotArea>
    </format>
    <format dxfId="319">
      <pivotArea collapsedLevelsAreSubtotals="1" fieldPosition="0">
        <references count="3">
          <reference field="3" count="1" selected="0">
            <x v="9"/>
          </reference>
          <reference field="4" count="1">
            <x v="10"/>
          </reference>
          <reference field="6" count="1" selected="0">
            <x v="0"/>
          </reference>
        </references>
      </pivotArea>
    </format>
    <format dxfId="318">
      <pivotArea collapsedLevelsAreSubtotals="1" fieldPosition="0">
        <references count="3">
          <reference field="3" count="1" selected="0">
            <x v="10"/>
          </reference>
          <reference field="4" count="1">
            <x v="8"/>
          </reference>
          <reference field="6" count="1" selected="0">
            <x v="0"/>
          </reference>
        </references>
      </pivotArea>
    </format>
    <format dxfId="317">
      <pivotArea collapsedLevelsAreSubtotals="1" fieldPosition="0">
        <references count="3">
          <reference field="3" count="1" selected="0">
            <x v="11"/>
          </reference>
          <reference field="4" count="1">
            <x v="67"/>
          </reference>
          <reference field="6" count="1" selected="0">
            <x v="0"/>
          </reference>
        </references>
      </pivotArea>
    </format>
    <format dxfId="316">
      <pivotArea collapsedLevelsAreSubtotals="1" fieldPosition="0">
        <references count="3">
          <reference field="3" count="1" selected="0">
            <x v="13"/>
          </reference>
          <reference field="4" count="1">
            <x v="60"/>
          </reference>
          <reference field="6" count="1" selected="0">
            <x v="0"/>
          </reference>
        </references>
      </pivotArea>
    </format>
    <format dxfId="315">
      <pivotArea collapsedLevelsAreSubtotals="1" fieldPosition="0">
        <references count="3">
          <reference field="3" count="1" selected="0">
            <x v="14"/>
          </reference>
          <reference field="4" count="1">
            <x v="69"/>
          </reference>
          <reference field="6" count="1" selected="0">
            <x v="0"/>
          </reference>
        </references>
      </pivotArea>
    </format>
    <format dxfId="314">
      <pivotArea collapsedLevelsAreSubtotals="1" fieldPosition="0">
        <references count="3">
          <reference field="3" count="1" selected="0">
            <x v="15"/>
          </reference>
          <reference field="4" count="1">
            <x v="42"/>
          </reference>
          <reference field="6" count="1" selected="0">
            <x v="0"/>
          </reference>
        </references>
      </pivotArea>
    </format>
    <format dxfId="313">
      <pivotArea collapsedLevelsAreSubtotals="1" fieldPosition="0">
        <references count="3">
          <reference field="3" count="1" selected="0">
            <x v="17"/>
          </reference>
          <reference field="4" count="1">
            <x v="11"/>
          </reference>
          <reference field="6" count="1" selected="0">
            <x v="0"/>
          </reference>
        </references>
      </pivotArea>
    </format>
    <format dxfId="312">
      <pivotArea dataOnly="0" labelOnly="1" fieldPosition="0">
        <references count="1">
          <reference field="3" count="18">
            <x v="5"/>
            <x v="6"/>
            <x v="7"/>
            <x v="8"/>
            <x v="9"/>
            <x v="10"/>
            <x v="11"/>
            <x v="13"/>
            <x v="14"/>
            <x v="15"/>
            <x v="17"/>
            <x v="19"/>
            <x v="20"/>
            <x v="21"/>
            <x v="23"/>
            <x v="36"/>
            <x v="37"/>
            <x v="4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樞紐分析表13" cacheId="0" applyNumberFormats="0" applyBorderFormats="0" applyFontFormats="0" applyPatternFormats="0" applyAlignmentFormats="0" applyWidthHeightFormats="1" dataCaption="數值" updatedVersion="5" minRefreshableVersion="3" useAutoFormatting="1" itemPrintTitles="1" createdVersion="5" indent="0" outline="1" outlineData="1" multipleFieldFilters="0">
  <location ref="B6:E19" firstHeaderRow="1" firstDataRow="2" firstDataCol="2" rowPageCount="2" colPageCount="1"/>
  <pivotFields count="12">
    <pivotField showAll="0"/>
    <pivotField axis="axisPage" multipleItemSelectionAllowed="1" showAll="0">
      <items count="14">
        <item h="1" x="0"/>
        <item h="1" x="1"/>
        <item h="1" x="12"/>
        <item h="1" x="2"/>
        <item x="3"/>
        <item h="1" x="4"/>
        <item h="1" x="5"/>
        <item h="1" x="6"/>
        <item h="1" x="7"/>
        <item h="1" x="8"/>
        <item h="1" x="9"/>
        <item h="1" x="10"/>
        <item h="1" x="11"/>
        <item t="default"/>
      </items>
    </pivotField>
    <pivotField axis="axisPage" multipleItemSelectionAllowed="1" showAll="0">
      <items count="56">
        <item m="1" x="53"/>
        <item x="1"/>
        <item x="2"/>
        <item x="3"/>
        <item x="4"/>
        <item x="5"/>
        <item x="6"/>
        <item x="52"/>
        <item x="7"/>
        <item x="8"/>
        <item x="9"/>
        <item x="10"/>
        <item x="11"/>
        <item x="12"/>
        <item x="13"/>
        <item x="14"/>
        <item x="15"/>
        <item x="16"/>
        <item x="17"/>
        <item x="19"/>
        <item x="20"/>
        <item x="21"/>
        <item x="51"/>
        <item x="22"/>
        <item x="23"/>
        <item x="25"/>
        <item m="1" x="54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0"/>
        <item x="18"/>
        <item x="43"/>
        <item x="44"/>
        <item x="45"/>
        <item x="46"/>
        <item x="24"/>
        <item x="47"/>
        <item x="48"/>
        <item x="49"/>
        <item x="50"/>
        <item t="default"/>
      </items>
    </pivotField>
    <pivotField axis="axisRow" outline="0" showAll="0" sortType="ascending" defaultSubtotal="0">
      <items count="46">
        <item m="1" x="36"/>
        <item x="15"/>
        <item m="1" x="38"/>
        <item m="1" x="28"/>
        <item x="22"/>
        <item x="18"/>
        <item x="7"/>
        <item x="1"/>
        <item x="10"/>
        <item x="6"/>
        <item x="12"/>
        <item x="11"/>
        <item m="1" x="29"/>
        <item m="1" x="30"/>
        <item x="0"/>
        <item x="5"/>
        <item x="24"/>
        <item x="2"/>
        <item m="1" x="32"/>
        <item m="1" x="34"/>
        <item m="1" x="37"/>
        <item x="16"/>
        <item x="23"/>
        <item x="9"/>
        <item m="1" x="41"/>
        <item m="1" x="42"/>
        <item m="1" x="43"/>
        <item m="1" x="44"/>
        <item m="1" x="45"/>
        <item m="1" x="31"/>
        <item m="1" x="33"/>
        <item m="1" x="26"/>
        <item m="1" x="35"/>
        <item m="1" x="27"/>
        <item m="1" x="39"/>
        <item x="20"/>
        <item x="3"/>
        <item x="21"/>
        <item h="1" m="1" x="40"/>
        <item h="1" x="4"/>
        <item h="1" x="17"/>
        <item h="1" x="19"/>
        <item x="8"/>
        <item h="1" x="13"/>
        <item h="1" x="14"/>
        <item h="1" x="25"/>
      </items>
    </pivotField>
    <pivotField axis="axisRow" showAll="0">
      <items count="132">
        <item m="1" x="116"/>
        <item m="1" x="79"/>
        <item x="24"/>
        <item m="1" x="107"/>
        <item m="1" x="63"/>
        <item m="1" x="38"/>
        <item m="1" x="126"/>
        <item m="1" x="85"/>
        <item m="1" x="48"/>
        <item m="1" x="105"/>
        <item m="1" x="49"/>
        <item x="2"/>
        <item m="1" x="77"/>
        <item m="1" x="111"/>
        <item m="1" x="114"/>
        <item m="1" x="95"/>
        <item x="30"/>
        <item x="31"/>
        <item x="18"/>
        <item m="1" x="60"/>
        <item m="1" x="84"/>
        <item m="1" x="64"/>
        <item m="1" x="108"/>
        <item m="1" x="62"/>
        <item m="1" x="61"/>
        <item m="1" x="125"/>
        <item m="1" x="121"/>
        <item m="1" x="118"/>
        <item m="1" x="71"/>
        <item m="1" x="101"/>
        <item m="1" x="94"/>
        <item m="1" x="66"/>
        <item m="1" x="120"/>
        <item m="1" x="73"/>
        <item m="1" x="57"/>
        <item m="1" x="59"/>
        <item m="1" x="129"/>
        <item m="1" x="65"/>
        <item x="29"/>
        <item m="1" x="93"/>
        <item m="1" x="102"/>
        <item m="1" x="40"/>
        <item m="1" x="74"/>
        <item m="1" x="119"/>
        <item m="1" x="45"/>
        <item m="1" x="32"/>
        <item m="1" x="76"/>
        <item m="1" x="99"/>
        <item m="1" x="56"/>
        <item m="1" x="69"/>
        <item m="1" x="34"/>
        <item m="1" x="100"/>
        <item m="1" x="83"/>
        <item x="17"/>
        <item x="20"/>
        <item m="1" x="58"/>
        <item m="1" x="122"/>
        <item m="1" x="47"/>
        <item m="1" x="87"/>
        <item m="1" x="46"/>
        <item m="1" x="50"/>
        <item m="1" x="88"/>
        <item m="1" x="81"/>
        <item m="1" x="53"/>
        <item m="1" x="123"/>
        <item m="1" x="39"/>
        <item m="1" x="86"/>
        <item m="1" x="70"/>
        <item m="1" x="78"/>
        <item m="1" x="36"/>
        <item m="1" x="72"/>
        <item m="1" x="130"/>
        <item x="23"/>
        <item m="1" x="115"/>
        <item m="1" x="124"/>
        <item m="1" x="51"/>
        <item m="1" x="113"/>
        <item m="1" x="44"/>
        <item m="1" x="91"/>
        <item m="1" x="41"/>
        <item x="9"/>
        <item m="1" x="104"/>
        <item m="1" x="68"/>
        <item m="1" x="80"/>
        <item m="1" x="37"/>
        <item m="1" x="103"/>
        <item m="1" x="55"/>
        <item m="1" x="54"/>
        <item m="1" x="43"/>
        <item m="1" x="75"/>
        <item x="27"/>
        <item x="4"/>
        <item m="1" x="110"/>
        <item m="1" x="42"/>
        <item x="11"/>
        <item m="1" x="106"/>
        <item m="1" x="33"/>
        <item m="1" x="97"/>
        <item m="1" x="112"/>
        <item x="0"/>
        <item x="6"/>
        <item m="1" x="96"/>
        <item m="1" x="90"/>
        <item m="1" x="89"/>
        <item m="1" x="127"/>
        <item x="7"/>
        <item x="3"/>
        <item m="1" x="35"/>
        <item m="1" x="128"/>
        <item x="19"/>
        <item m="1" x="52"/>
        <item m="1" x="98"/>
        <item m="1" x="92"/>
        <item x="22"/>
        <item x="1"/>
        <item m="1" x="109"/>
        <item m="1" x="67"/>
        <item m="1" x="117"/>
        <item m="1" x="82"/>
        <item x="8"/>
        <item x="10"/>
        <item x="13"/>
        <item x="14"/>
        <item x="15"/>
        <item x="16"/>
        <item x="5"/>
        <item x="21"/>
        <item x="12"/>
        <item x="25"/>
        <item x="26"/>
        <item x="28"/>
        <item t="default"/>
      </items>
    </pivotField>
    <pivotField showAll="0"/>
    <pivotField axis="axisCol" showAll="0">
      <items count="8">
        <item x="0"/>
        <item m="1" x="5"/>
        <item x="3"/>
        <item m="1" x="4"/>
        <item m="1" x="6"/>
        <item x="2"/>
        <item x="1"/>
        <item t="default"/>
      </items>
    </pivotField>
    <pivotField showAll="0"/>
    <pivotField showAll="0"/>
    <pivotField dataField="1" showAll="0"/>
    <pivotField showAll="0"/>
    <pivotField showAll="0"/>
  </pivotFields>
  <rowFields count="2">
    <field x="3"/>
    <field x="4"/>
  </rowFields>
  <rowItems count="12">
    <i>
      <x v="4"/>
      <x v="2"/>
    </i>
    <i>
      <x v="6"/>
      <x v="105"/>
    </i>
    <i>
      <x v="7"/>
      <x v="114"/>
    </i>
    <i>
      <x v="8"/>
      <x v="120"/>
    </i>
    <i>
      <x v="9"/>
      <x v="100"/>
    </i>
    <i>
      <x v="10"/>
      <x v="127"/>
    </i>
    <i>
      <x v="11"/>
      <x v="94"/>
    </i>
    <i>
      <x v="15"/>
      <x v="125"/>
    </i>
    <i>
      <x v="17"/>
      <x v="11"/>
    </i>
    <i>
      <x v="35"/>
      <x v="113"/>
    </i>
    <i>
      <x v="37"/>
      <x v="72"/>
    </i>
    <i t="grand">
      <x/>
    </i>
  </rowItems>
  <colFields count="1">
    <field x="6"/>
  </colFields>
  <colItems count="2">
    <i>
      <x/>
    </i>
    <i t="grand">
      <x/>
    </i>
  </colItems>
  <pageFields count="2">
    <pageField fld="1" hier="-1"/>
    <pageField fld="2" hier="-1"/>
  </pageFields>
  <dataFields count="1">
    <dataField name="加總 - 奉獻金額" fld="9" baseField="3" baseItem="0" numFmtId="40"/>
  </dataFields>
  <formats count="30">
    <format dxfId="311">
      <pivotArea type="all" dataOnly="0" outline="0" fieldPosition="0"/>
    </format>
    <format dxfId="310">
      <pivotArea outline="0" collapsedLevelsAreSubtotals="1" fieldPosition="0"/>
    </format>
    <format dxfId="309">
      <pivotArea dataOnly="0" labelOnly="1" fieldPosition="0">
        <references count="1">
          <reference field="3" count="16">
            <x v="0"/>
            <x v="1"/>
            <x v="2"/>
            <x v="3"/>
            <x v="4"/>
            <x v="6"/>
            <x v="7"/>
            <x v="8"/>
            <x v="9"/>
            <x v="10"/>
            <x v="11"/>
            <x v="12"/>
            <x v="13"/>
            <x v="15"/>
            <x v="16"/>
            <x v="17"/>
          </reference>
        </references>
      </pivotArea>
    </format>
    <format dxfId="308">
      <pivotArea dataOnly="0" labelOnly="1" grandRow="1" outline="0" fieldPosition="0"/>
    </format>
    <format dxfId="307">
      <pivotArea dataOnly="0" labelOnly="1" fieldPosition="0">
        <references count="2">
          <reference field="3" count="1" selected="0">
            <x v="0"/>
          </reference>
          <reference field="4" count="1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</reference>
        </references>
      </pivotArea>
    </format>
    <format dxfId="306">
      <pivotArea dataOnly="0" labelOnly="1" fieldPosition="0">
        <references count="1">
          <reference field="6" count="0"/>
        </references>
      </pivotArea>
    </format>
    <format dxfId="305">
      <pivotArea dataOnly="0" labelOnly="1" grandCol="1" outline="0" fieldPosition="0"/>
    </format>
    <format dxfId="304">
      <pivotArea dataOnly="0" labelOnly="1" fieldPosition="0">
        <references count="1">
          <reference field="3" count="16">
            <x v="0"/>
            <x v="1"/>
            <x v="2"/>
            <x v="3"/>
            <x v="4"/>
            <x v="6"/>
            <x v="7"/>
            <x v="8"/>
            <x v="9"/>
            <x v="10"/>
            <x v="11"/>
            <x v="12"/>
            <x v="13"/>
            <x v="15"/>
            <x v="16"/>
            <x v="17"/>
          </reference>
        </references>
      </pivotArea>
    </format>
    <format dxfId="303">
      <pivotArea dataOnly="0" labelOnly="1" grandRow="1" outline="0" fieldPosition="0"/>
    </format>
    <format dxfId="302">
      <pivotArea dataOnly="0" labelOnly="1" fieldPosition="0">
        <references count="2">
          <reference field="3" count="1" selected="0">
            <x v="0"/>
          </reference>
          <reference field="4" count="1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</reference>
        </references>
      </pivotArea>
    </format>
    <format dxfId="301">
      <pivotArea dataOnly="0" labelOnly="1" outline="0" fieldPosition="0">
        <references count="1">
          <reference field="1" count="0"/>
        </references>
      </pivotArea>
    </format>
    <format dxfId="300">
      <pivotArea dataOnly="0" outline="0" fieldPosition="0">
        <references count="1">
          <reference field="1" count="0"/>
        </references>
      </pivotArea>
    </format>
    <format dxfId="299">
      <pivotArea collapsedLevelsAreSubtotals="1" fieldPosition="0">
        <references count="3">
          <reference field="3" count="1" selected="0">
            <x v="0"/>
          </reference>
          <reference field="4" count="1">
            <x v="13"/>
          </reference>
          <reference field="6" count="0" selected="0"/>
        </references>
      </pivotArea>
    </format>
    <format dxfId="298">
      <pivotArea collapsedLevelsAreSubtotals="1" fieldPosition="0">
        <references count="3">
          <reference field="3" count="1" selected="0">
            <x v="1"/>
          </reference>
          <reference field="4" count="1">
            <x v="14"/>
          </reference>
          <reference field="6" count="0" selected="0"/>
        </references>
      </pivotArea>
    </format>
    <format dxfId="297">
      <pivotArea collapsedLevelsAreSubtotals="1" fieldPosition="0">
        <references count="3">
          <reference field="3" count="1" selected="0">
            <x v="2"/>
          </reference>
          <reference field="4" count="1">
            <x v="12"/>
          </reference>
          <reference field="6" count="0" selected="0"/>
        </references>
      </pivotArea>
    </format>
    <format dxfId="296">
      <pivotArea collapsedLevelsAreSubtotals="1" fieldPosition="0">
        <references count="3">
          <reference field="3" count="1" selected="0">
            <x v="3"/>
          </reference>
          <reference field="4" count="1">
            <x v="6"/>
          </reference>
          <reference field="6" count="0" selected="0"/>
        </references>
      </pivotArea>
    </format>
    <format dxfId="295">
      <pivotArea collapsedLevelsAreSubtotals="1" fieldPosition="0">
        <references count="3">
          <reference field="3" count="1" selected="0">
            <x v="4"/>
          </reference>
          <reference field="4" count="1">
            <x v="2"/>
          </reference>
          <reference field="6" count="0" selected="0"/>
        </references>
      </pivotArea>
    </format>
    <format dxfId="294">
      <pivotArea collapsedLevelsAreSubtotals="1" fieldPosition="0">
        <references count="3">
          <reference field="3" count="1" selected="0">
            <x v="6"/>
          </reference>
          <reference field="4" count="1">
            <x v="5"/>
          </reference>
          <reference field="6" count="0" selected="0"/>
        </references>
      </pivotArea>
    </format>
    <format dxfId="293">
      <pivotArea collapsedLevelsAreSubtotals="1" fieldPosition="0">
        <references count="3">
          <reference field="3" count="1" selected="0">
            <x v="7"/>
          </reference>
          <reference field="4" count="1">
            <x v="3"/>
          </reference>
          <reference field="6" count="0" selected="0"/>
        </references>
      </pivotArea>
    </format>
    <format dxfId="292">
      <pivotArea collapsedLevelsAreSubtotals="1" fieldPosition="0">
        <references count="3">
          <reference field="3" count="1" selected="0">
            <x v="8"/>
          </reference>
          <reference field="4" count="1">
            <x v="9"/>
          </reference>
          <reference field="6" count="0" selected="0"/>
        </references>
      </pivotArea>
    </format>
    <format dxfId="291">
      <pivotArea collapsedLevelsAreSubtotals="1" fieldPosition="0">
        <references count="3">
          <reference field="3" count="1" selected="0">
            <x v="9"/>
          </reference>
          <reference field="4" count="1">
            <x v="10"/>
          </reference>
          <reference field="6" count="0" selected="0"/>
        </references>
      </pivotArea>
    </format>
    <format dxfId="290">
      <pivotArea collapsedLevelsAreSubtotals="1" fieldPosition="0">
        <references count="3">
          <reference field="3" count="1" selected="0">
            <x v="10"/>
          </reference>
          <reference field="4" count="1">
            <x v="8"/>
          </reference>
          <reference field="6" count="0" selected="0"/>
        </references>
      </pivotArea>
    </format>
    <format dxfId="289">
      <pivotArea collapsedLevelsAreSubtotals="1" fieldPosition="0">
        <references count="3">
          <reference field="3" count="1" selected="0">
            <x v="11"/>
          </reference>
          <reference field="4" count="1">
            <x v="0"/>
          </reference>
          <reference field="6" count="0" selected="0"/>
        </references>
      </pivotArea>
    </format>
    <format dxfId="288">
      <pivotArea collapsedLevelsAreSubtotals="1" fieldPosition="0">
        <references count="3">
          <reference field="3" count="1" selected="0">
            <x v="12"/>
          </reference>
          <reference field="4" count="1">
            <x v="4"/>
          </reference>
          <reference field="6" count="0" selected="0"/>
        </references>
      </pivotArea>
    </format>
    <format dxfId="287">
      <pivotArea collapsedLevelsAreSubtotals="1" fieldPosition="0">
        <references count="3">
          <reference field="3" count="1" selected="0">
            <x v="13"/>
          </reference>
          <reference field="4" count="1">
            <x v="15"/>
          </reference>
          <reference field="6" count="0" selected="0"/>
        </references>
      </pivotArea>
    </format>
    <format dxfId="286">
      <pivotArea collapsedLevelsAreSubtotals="1" fieldPosition="0">
        <references count="3">
          <reference field="3" count="1" selected="0">
            <x v="17"/>
          </reference>
          <reference field="4" count="1">
            <x v="11"/>
          </reference>
          <reference field="6" count="0" selected="0"/>
        </references>
      </pivotArea>
    </format>
    <format dxfId="285">
      <pivotArea field="6" grandRow="1" outline="0" collapsedLevelsAreSubtotals="1" axis="axisCol" fieldPosition="0">
        <references count="1">
          <reference field="6" count="0" selected="0"/>
        </references>
      </pivotArea>
    </format>
    <format dxfId="284">
      <pivotArea dataOnly="0" labelOnly="1" outline="0" fieldPosition="0">
        <references count="1">
          <reference field="2" count="0"/>
        </references>
      </pivotArea>
    </format>
    <format dxfId="283">
      <pivotArea dataOnly="0" labelOnly="1" fieldPosition="0">
        <references count="1">
          <reference field="3" count="21">
            <x v="0"/>
            <x v="1"/>
            <x v="2"/>
            <x v="6"/>
            <x v="7"/>
            <x v="9"/>
            <x v="10"/>
            <x v="11"/>
            <x v="15"/>
            <x v="17"/>
            <x v="19"/>
            <x v="21"/>
            <x v="22"/>
            <x v="23"/>
            <x v="24"/>
            <x v="25"/>
            <x v="26"/>
            <x v="27"/>
            <x v="28"/>
            <x v="29"/>
            <x v="30"/>
          </reference>
        </references>
      </pivotArea>
    </format>
    <format dxfId="282">
      <pivotArea dataOnly="0" labelOnly="1" fieldPosition="0">
        <references count="1">
          <reference field="3" count="3">
            <x v="36"/>
            <x v="42"/>
            <x v="4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數值" updatedVersion="5" minRefreshableVersion="3" useAutoFormatting="1" itemPrintTitles="1" createdVersion="5" indent="0" outline="1" outlineData="1" multipleFieldFilters="0">
  <location ref="B7:E26" firstHeaderRow="1" firstDataRow="2" firstDataCol="2" rowPageCount="2" colPageCount="1"/>
  <pivotFields count="12">
    <pivotField showAll="0"/>
    <pivotField axis="axisPage" multipleItemSelectionAllowed="1" showAll="0">
      <items count="14">
        <item h="1" x="0"/>
        <item h="1" x="1"/>
        <item h="1" x="12"/>
        <item h="1" x="2"/>
        <item h="1" x="3"/>
        <item x="4"/>
        <item h="1" x="5"/>
        <item h="1" x="6"/>
        <item h="1" x="7"/>
        <item h="1" x="8"/>
        <item h="1" x="9"/>
        <item h="1" x="10"/>
        <item h="1" x="11"/>
        <item t="default"/>
      </items>
    </pivotField>
    <pivotField axis="axisPage" multipleItemSelectionAllowed="1" showAll="0">
      <items count="56">
        <item m="1" x="53"/>
        <item x="1"/>
        <item x="2"/>
        <item x="3"/>
        <item x="4"/>
        <item x="5"/>
        <item x="6"/>
        <item x="52"/>
        <item x="7"/>
        <item x="8"/>
        <item x="9"/>
        <item x="10"/>
        <item x="11"/>
        <item x="12"/>
        <item x="13"/>
        <item x="14"/>
        <item x="15"/>
        <item x="16"/>
        <item x="17"/>
        <item x="19"/>
        <item x="20"/>
        <item x="21"/>
        <item x="51"/>
        <item x="22"/>
        <item x="23"/>
        <item x="25"/>
        <item m="1" x="54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0"/>
        <item x="18"/>
        <item x="43"/>
        <item x="44"/>
        <item x="45"/>
        <item x="46"/>
        <item x="24"/>
        <item x="47"/>
        <item x="48"/>
        <item x="49"/>
        <item x="50"/>
        <item t="default"/>
      </items>
    </pivotField>
    <pivotField axis="axisRow" outline="0" showAll="0" sortType="ascending" defaultSubtotal="0">
      <items count="46">
        <item m="1" x="36"/>
        <item x="15"/>
        <item m="1" x="38"/>
        <item m="1" x="28"/>
        <item x="22"/>
        <item x="18"/>
        <item x="7"/>
        <item x="1"/>
        <item x="10"/>
        <item x="6"/>
        <item x="12"/>
        <item x="11"/>
        <item m="1" x="29"/>
        <item m="1" x="30"/>
        <item x="0"/>
        <item x="5"/>
        <item x="24"/>
        <item x="2"/>
        <item m="1" x="32"/>
        <item m="1" x="34"/>
        <item m="1" x="37"/>
        <item x="16"/>
        <item x="23"/>
        <item x="9"/>
        <item m="1" x="41"/>
        <item m="1" x="42"/>
        <item m="1" x="43"/>
        <item m="1" x="44"/>
        <item m="1" x="45"/>
        <item m="1" x="31"/>
        <item m="1" x="33"/>
        <item m="1" x="26"/>
        <item m="1" x="35"/>
        <item m="1" x="27"/>
        <item m="1" x="39"/>
        <item x="20"/>
        <item x="3"/>
        <item x="21"/>
        <item m="1" x="40"/>
        <item x="4"/>
        <item x="17"/>
        <item x="19"/>
        <item x="8"/>
        <item h="1" x="13"/>
        <item h="1" x="14"/>
        <item h="1" x="25"/>
      </items>
    </pivotField>
    <pivotField axis="axisRow" showAll="0">
      <items count="132">
        <item m="1" x="116"/>
        <item m="1" x="79"/>
        <item x="24"/>
        <item m="1" x="107"/>
        <item m="1" x="63"/>
        <item m="1" x="38"/>
        <item m="1" x="126"/>
        <item m="1" x="85"/>
        <item m="1" x="48"/>
        <item m="1" x="105"/>
        <item m="1" x="49"/>
        <item x="2"/>
        <item m="1" x="77"/>
        <item m="1" x="111"/>
        <item m="1" x="114"/>
        <item m="1" x="95"/>
        <item x="30"/>
        <item x="31"/>
        <item x="18"/>
        <item m="1" x="60"/>
        <item m="1" x="84"/>
        <item m="1" x="64"/>
        <item m="1" x="108"/>
        <item m="1" x="62"/>
        <item m="1" x="61"/>
        <item m="1" x="125"/>
        <item m="1" x="121"/>
        <item m="1" x="118"/>
        <item m="1" x="71"/>
        <item m="1" x="101"/>
        <item m="1" x="94"/>
        <item m="1" x="66"/>
        <item m="1" x="120"/>
        <item m="1" x="73"/>
        <item m="1" x="57"/>
        <item m="1" x="59"/>
        <item m="1" x="129"/>
        <item m="1" x="65"/>
        <item x="29"/>
        <item m="1" x="93"/>
        <item m="1" x="102"/>
        <item m="1" x="40"/>
        <item m="1" x="74"/>
        <item m="1" x="119"/>
        <item m="1" x="45"/>
        <item m="1" x="32"/>
        <item m="1" x="76"/>
        <item m="1" x="99"/>
        <item m="1" x="56"/>
        <item m="1" x="69"/>
        <item m="1" x="34"/>
        <item m="1" x="100"/>
        <item m="1" x="83"/>
        <item x="17"/>
        <item x="20"/>
        <item m="1" x="58"/>
        <item m="1" x="122"/>
        <item m="1" x="47"/>
        <item m="1" x="87"/>
        <item m="1" x="46"/>
        <item m="1" x="50"/>
        <item m="1" x="88"/>
        <item m="1" x="81"/>
        <item m="1" x="53"/>
        <item m="1" x="123"/>
        <item m="1" x="39"/>
        <item m="1" x="86"/>
        <item m="1" x="70"/>
        <item m="1" x="78"/>
        <item m="1" x="36"/>
        <item m="1" x="72"/>
        <item m="1" x="130"/>
        <item x="23"/>
        <item m="1" x="115"/>
        <item m="1" x="124"/>
        <item m="1" x="51"/>
        <item m="1" x="113"/>
        <item m="1" x="44"/>
        <item m="1" x="91"/>
        <item m="1" x="41"/>
        <item x="9"/>
        <item m="1" x="104"/>
        <item m="1" x="68"/>
        <item m="1" x="80"/>
        <item m="1" x="37"/>
        <item m="1" x="103"/>
        <item m="1" x="55"/>
        <item m="1" x="54"/>
        <item m="1" x="43"/>
        <item m="1" x="75"/>
        <item x="27"/>
        <item x="4"/>
        <item m="1" x="110"/>
        <item m="1" x="42"/>
        <item x="11"/>
        <item m="1" x="106"/>
        <item m="1" x="33"/>
        <item m="1" x="97"/>
        <item m="1" x="112"/>
        <item x="0"/>
        <item x="6"/>
        <item m="1" x="96"/>
        <item m="1" x="90"/>
        <item m="1" x="89"/>
        <item m="1" x="127"/>
        <item x="7"/>
        <item x="3"/>
        <item m="1" x="35"/>
        <item m="1" x="128"/>
        <item x="19"/>
        <item m="1" x="52"/>
        <item m="1" x="98"/>
        <item m="1" x="92"/>
        <item x="22"/>
        <item x="1"/>
        <item m="1" x="109"/>
        <item m="1" x="67"/>
        <item m="1" x="117"/>
        <item m="1" x="82"/>
        <item x="8"/>
        <item x="10"/>
        <item x="13"/>
        <item x="14"/>
        <item x="15"/>
        <item x="16"/>
        <item x="5"/>
        <item x="21"/>
        <item x="12"/>
        <item x="25"/>
        <item x="26"/>
        <item x="28"/>
        <item t="default"/>
      </items>
    </pivotField>
    <pivotField showAll="0"/>
    <pivotField axis="axisCol" showAll="0">
      <items count="8">
        <item x="0"/>
        <item m="1" x="5"/>
        <item x="3"/>
        <item m="1" x="4"/>
        <item m="1" x="6"/>
        <item x="2"/>
        <item x="1"/>
        <item t="default"/>
      </items>
    </pivotField>
    <pivotField showAll="0"/>
    <pivotField showAll="0"/>
    <pivotField dataField="1" showAll="0"/>
    <pivotField showAll="0"/>
    <pivotField showAll="0"/>
  </pivotFields>
  <rowFields count="2">
    <field x="3"/>
    <field x="4"/>
  </rowFields>
  <rowItems count="18">
    <i>
      <x v="6"/>
      <x v="105"/>
    </i>
    <i>
      <x v="7"/>
      <x v="114"/>
    </i>
    <i>
      <x v="8"/>
      <x v="120"/>
    </i>
    <i>
      <x v="9"/>
      <x v="100"/>
    </i>
    <i>
      <x v="10"/>
      <x v="127"/>
    </i>
    <i>
      <x v="11"/>
      <x v="94"/>
    </i>
    <i>
      <x v="15"/>
      <x v="125"/>
    </i>
    <i>
      <x v="17"/>
      <x v="11"/>
    </i>
    <i>
      <x v="22"/>
      <x v="90"/>
    </i>
    <i>
      <x v="23"/>
      <x v="80"/>
    </i>
    <i>
      <x v="35"/>
      <x v="113"/>
    </i>
    <i>
      <x v="36"/>
      <x v="106"/>
    </i>
    <i>
      <x v="39"/>
      <x v="91"/>
    </i>
    <i>
      <x v="40"/>
      <x v="109"/>
    </i>
    <i>
      <x v="41"/>
      <x v="126"/>
    </i>
    <i>
      <x v="42"/>
      <x v="128"/>
    </i>
    <i r="1">
      <x v="129"/>
    </i>
    <i t="grand">
      <x/>
    </i>
  </rowItems>
  <colFields count="1">
    <field x="6"/>
  </colFields>
  <colItems count="2">
    <i>
      <x/>
    </i>
    <i t="grand">
      <x/>
    </i>
  </colItems>
  <pageFields count="2">
    <pageField fld="1" hier="-1"/>
    <pageField fld="2" hier="-1"/>
  </pageFields>
  <dataFields count="1">
    <dataField name="加總 - 奉獻金額" fld="9" baseField="3" baseItem="0" numFmtId="40"/>
  </dataFields>
  <formats count="33">
    <format dxfId="281">
      <pivotArea type="all" dataOnly="0" outline="0" fieldPosition="0"/>
    </format>
    <format dxfId="280">
      <pivotArea outline="0" collapsedLevelsAreSubtotals="1" fieldPosition="0"/>
    </format>
    <format dxfId="279">
      <pivotArea dataOnly="0" labelOnly="1" fieldPosition="0">
        <references count="1">
          <reference field="3" count="16">
            <x v="0"/>
            <x v="1"/>
            <x v="2"/>
            <x v="3"/>
            <x v="4"/>
            <x v="6"/>
            <x v="7"/>
            <x v="8"/>
            <x v="9"/>
            <x v="10"/>
            <x v="11"/>
            <x v="12"/>
            <x v="13"/>
            <x v="15"/>
            <x v="16"/>
            <x v="17"/>
          </reference>
        </references>
      </pivotArea>
    </format>
    <format dxfId="278">
      <pivotArea dataOnly="0" labelOnly="1" grandRow="1" outline="0" fieldPosition="0"/>
    </format>
    <format dxfId="277">
      <pivotArea dataOnly="0" labelOnly="1" fieldPosition="0">
        <references count="2">
          <reference field="3" count="1" selected="0">
            <x v="0"/>
          </reference>
          <reference field="4" count="1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</reference>
        </references>
      </pivotArea>
    </format>
    <format dxfId="276">
      <pivotArea dataOnly="0" labelOnly="1" fieldPosition="0">
        <references count="1">
          <reference field="6" count="0"/>
        </references>
      </pivotArea>
    </format>
    <format dxfId="275">
      <pivotArea dataOnly="0" labelOnly="1" grandCol="1" outline="0" fieldPosition="0"/>
    </format>
    <format dxfId="274">
      <pivotArea dataOnly="0" labelOnly="1" fieldPosition="0">
        <references count="1">
          <reference field="3" count="16">
            <x v="0"/>
            <x v="1"/>
            <x v="2"/>
            <x v="3"/>
            <x v="4"/>
            <x v="6"/>
            <x v="7"/>
            <x v="8"/>
            <x v="9"/>
            <x v="10"/>
            <x v="11"/>
            <x v="12"/>
            <x v="13"/>
            <x v="15"/>
            <x v="16"/>
            <x v="17"/>
          </reference>
        </references>
      </pivotArea>
    </format>
    <format dxfId="273">
      <pivotArea dataOnly="0" labelOnly="1" grandRow="1" outline="0" fieldPosition="0"/>
    </format>
    <format dxfId="272">
      <pivotArea dataOnly="0" labelOnly="1" fieldPosition="0">
        <references count="2">
          <reference field="3" count="1" selected="0">
            <x v="0"/>
          </reference>
          <reference field="4" count="1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</reference>
        </references>
      </pivotArea>
    </format>
    <format dxfId="271">
      <pivotArea dataOnly="0" labelOnly="1" outline="0" fieldPosition="0">
        <references count="1">
          <reference field="1" count="0"/>
        </references>
      </pivotArea>
    </format>
    <format dxfId="270">
      <pivotArea dataOnly="0" outline="0" fieldPosition="0">
        <references count="1">
          <reference field="1" count="0"/>
        </references>
      </pivotArea>
    </format>
    <format dxfId="269">
      <pivotArea collapsedLevelsAreSubtotals="1" fieldPosition="0">
        <references count="3">
          <reference field="3" count="1" selected="0">
            <x v="0"/>
          </reference>
          <reference field="4" count="1">
            <x v="13"/>
          </reference>
          <reference field="6" count="0" selected="0"/>
        </references>
      </pivotArea>
    </format>
    <format dxfId="268">
      <pivotArea collapsedLevelsAreSubtotals="1" fieldPosition="0">
        <references count="3">
          <reference field="3" count="1" selected="0">
            <x v="1"/>
          </reference>
          <reference field="4" count="1">
            <x v="14"/>
          </reference>
          <reference field="6" count="0" selected="0"/>
        </references>
      </pivotArea>
    </format>
    <format dxfId="267">
      <pivotArea collapsedLevelsAreSubtotals="1" fieldPosition="0">
        <references count="3">
          <reference field="3" count="1" selected="0">
            <x v="2"/>
          </reference>
          <reference field="4" count="1">
            <x v="12"/>
          </reference>
          <reference field="6" count="0" selected="0"/>
        </references>
      </pivotArea>
    </format>
    <format dxfId="266">
      <pivotArea collapsedLevelsAreSubtotals="1" fieldPosition="0">
        <references count="3">
          <reference field="3" count="1" selected="0">
            <x v="3"/>
          </reference>
          <reference field="4" count="1">
            <x v="6"/>
          </reference>
          <reference field="6" count="0" selected="0"/>
        </references>
      </pivotArea>
    </format>
    <format dxfId="265">
      <pivotArea collapsedLevelsAreSubtotals="1" fieldPosition="0">
        <references count="3">
          <reference field="3" count="1" selected="0">
            <x v="4"/>
          </reference>
          <reference field="4" count="1">
            <x v="2"/>
          </reference>
          <reference field="6" count="0" selected="0"/>
        </references>
      </pivotArea>
    </format>
    <format dxfId="264">
      <pivotArea collapsedLevelsAreSubtotals="1" fieldPosition="0">
        <references count="3">
          <reference field="3" count="1" selected="0">
            <x v="6"/>
          </reference>
          <reference field="4" count="1">
            <x v="5"/>
          </reference>
          <reference field="6" count="0" selected="0"/>
        </references>
      </pivotArea>
    </format>
    <format dxfId="263">
      <pivotArea collapsedLevelsAreSubtotals="1" fieldPosition="0">
        <references count="3">
          <reference field="3" count="1" selected="0">
            <x v="7"/>
          </reference>
          <reference field="4" count="1">
            <x v="3"/>
          </reference>
          <reference field="6" count="0" selected="0"/>
        </references>
      </pivotArea>
    </format>
    <format dxfId="262">
      <pivotArea collapsedLevelsAreSubtotals="1" fieldPosition="0">
        <references count="3">
          <reference field="3" count="1" selected="0">
            <x v="8"/>
          </reference>
          <reference field="4" count="1">
            <x v="9"/>
          </reference>
          <reference field="6" count="0" selected="0"/>
        </references>
      </pivotArea>
    </format>
    <format dxfId="261">
      <pivotArea collapsedLevelsAreSubtotals="1" fieldPosition="0">
        <references count="3">
          <reference field="3" count="1" selected="0">
            <x v="9"/>
          </reference>
          <reference field="4" count="1">
            <x v="10"/>
          </reference>
          <reference field="6" count="0" selected="0"/>
        </references>
      </pivotArea>
    </format>
    <format dxfId="260">
      <pivotArea collapsedLevelsAreSubtotals="1" fieldPosition="0">
        <references count="3">
          <reference field="3" count="1" selected="0">
            <x v="10"/>
          </reference>
          <reference field="4" count="1">
            <x v="8"/>
          </reference>
          <reference field="6" count="0" selected="0"/>
        </references>
      </pivotArea>
    </format>
    <format dxfId="259">
      <pivotArea collapsedLevelsAreSubtotals="1" fieldPosition="0">
        <references count="3">
          <reference field="3" count="1" selected="0">
            <x v="11"/>
          </reference>
          <reference field="4" count="1">
            <x v="0"/>
          </reference>
          <reference field="6" count="0" selected="0"/>
        </references>
      </pivotArea>
    </format>
    <format dxfId="258">
      <pivotArea collapsedLevelsAreSubtotals="1" fieldPosition="0">
        <references count="3">
          <reference field="3" count="1" selected="0">
            <x v="12"/>
          </reference>
          <reference field="4" count="1">
            <x v="4"/>
          </reference>
          <reference field="6" count="0" selected="0"/>
        </references>
      </pivotArea>
    </format>
    <format dxfId="257">
      <pivotArea collapsedLevelsAreSubtotals="1" fieldPosition="0">
        <references count="3">
          <reference field="3" count="1" selected="0">
            <x v="13"/>
          </reference>
          <reference field="4" count="1">
            <x v="15"/>
          </reference>
          <reference field="6" count="0" selected="0"/>
        </references>
      </pivotArea>
    </format>
    <format dxfId="256">
      <pivotArea collapsedLevelsAreSubtotals="1" fieldPosition="0">
        <references count="3">
          <reference field="3" count="1" selected="0">
            <x v="17"/>
          </reference>
          <reference field="4" count="1">
            <x v="11"/>
          </reference>
          <reference field="6" count="0" selected="0"/>
        </references>
      </pivotArea>
    </format>
    <format dxfId="255">
      <pivotArea field="6" grandRow="1" outline="0" collapsedLevelsAreSubtotals="1" axis="axisCol" fieldPosition="0">
        <references count="1">
          <reference field="6" count="0" selected="0"/>
        </references>
      </pivotArea>
    </format>
    <format dxfId="254">
      <pivotArea dataOnly="0" labelOnly="1" outline="0" fieldPosition="0">
        <references count="1">
          <reference field="2" count="0"/>
        </references>
      </pivotArea>
    </format>
    <format dxfId="253">
      <pivotArea dataOnly="0" labelOnly="1" fieldPosition="0">
        <references count="1">
          <reference field="3" count="21">
            <x v="0"/>
            <x v="1"/>
            <x v="2"/>
            <x v="6"/>
            <x v="7"/>
            <x v="9"/>
            <x v="10"/>
            <x v="11"/>
            <x v="15"/>
            <x v="17"/>
            <x v="19"/>
            <x v="21"/>
            <x v="22"/>
            <x v="23"/>
            <x v="24"/>
            <x v="25"/>
            <x v="26"/>
            <x v="27"/>
            <x v="28"/>
            <x v="29"/>
            <x v="30"/>
          </reference>
        </references>
      </pivotArea>
    </format>
    <format dxfId="252">
      <pivotArea dataOnly="0" labelOnly="1" fieldPosition="0">
        <references count="1">
          <reference field="3" count="17">
            <x v="0"/>
            <x v="1"/>
            <x v="6"/>
            <x v="7"/>
            <x v="8"/>
            <x v="9"/>
            <x v="11"/>
            <x v="17"/>
            <x v="22"/>
            <x v="23"/>
            <x v="24"/>
            <x v="31"/>
            <x v="32"/>
            <x v="33"/>
            <x v="34"/>
            <x v="42"/>
            <x v="45"/>
          </reference>
        </references>
      </pivotArea>
    </format>
    <format dxfId="251">
      <pivotArea dataOnly="0" labelOnly="1" fieldPosition="0">
        <references count="1">
          <reference field="3" count="1">
            <x v="35"/>
          </reference>
        </references>
      </pivotArea>
    </format>
    <format dxfId="250">
      <pivotArea dataOnly="0" labelOnly="1" fieldPosition="0">
        <references count="1">
          <reference field="3" count="1">
            <x v="14"/>
          </reference>
        </references>
      </pivotArea>
    </format>
    <format dxfId="249">
      <pivotArea dataOnly="0" labelOnly="1" fieldPosition="0">
        <references count="1">
          <reference field="3" count="2">
            <x v="36"/>
            <x v="3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name="樞紐分析表3" cacheId="0" applyNumberFormats="0" applyBorderFormats="0" applyFontFormats="0" applyPatternFormats="0" applyAlignmentFormats="0" applyWidthHeightFormats="1" dataCaption="數值" updatedVersion="5" minRefreshableVersion="3" useAutoFormatting="1" itemPrintTitles="1" createdVersion="5" indent="0" outline="1" outlineData="1" multipleFieldFilters="0">
  <location ref="B6:E25" firstHeaderRow="1" firstDataRow="2" firstDataCol="2" rowPageCount="2" colPageCount="1"/>
  <pivotFields count="12">
    <pivotField showAll="0"/>
    <pivotField axis="axisPage" multipleItemSelectionAllowed="1" showAll="0">
      <items count="14">
        <item h="1" x="0"/>
        <item h="1" x="1"/>
        <item h="1" x="12"/>
        <item h="1" x="2"/>
        <item h="1" x="3"/>
        <item h="1" x="4"/>
        <item x="5"/>
        <item h="1" x="6"/>
        <item h="1" x="7"/>
        <item h="1" x="8"/>
        <item h="1" x="9"/>
        <item h="1" x="10"/>
        <item h="1" x="11"/>
        <item t="default"/>
      </items>
    </pivotField>
    <pivotField axis="axisPage" multipleItemSelectionAllowed="1" showAll="0">
      <items count="56">
        <item m="1" x="53"/>
        <item x="1"/>
        <item x="2"/>
        <item x="3"/>
        <item x="4"/>
        <item x="5"/>
        <item x="6"/>
        <item x="52"/>
        <item x="7"/>
        <item x="8"/>
        <item x="9"/>
        <item x="10"/>
        <item x="11"/>
        <item x="12"/>
        <item x="13"/>
        <item x="14"/>
        <item x="15"/>
        <item x="16"/>
        <item x="17"/>
        <item x="19"/>
        <item x="20"/>
        <item x="21"/>
        <item x="51"/>
        <item x="22"/>
        <item x="23"/>
        <item x="25"/>
        <item m="1" x="54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0"/>
        <item x="18"/>
        <item x="43"/>
        <item x="44"/>
        <item x="45"/>
        <item x="46"/>
        <item x="24"/>
        <item x="47"/>
        <item x="48"/>
        <item x="49"/>
        <item x="50"/>
        <item t="default"/>
      </items>
    </pivotField>
    <pivotField axis="axisRow" outline="0" showAll="0" sortType="ascending" defaultSubtotal="0">
      <items count="46">
        <item m="1" x="36"/>
        <item x="15"/>
        <item m="1" x="38"/>
        <item m="1" x="28"/>
        <item x="22"/>
        <item x="18"/>
        <item x="7"/>
        <item x="1"/>
        <item x="10"/>
        <item x="6"/>
        <item x="12"/>
        <item x="11"/>
        <item m="1" x="29"/>
        <item m="1" x="30"/>
        <item x="0"/>
        <item x="5"/>
        <item x="24"/>
        <item x="2"/>
        <item m="1" x="32"/>
        <item m="1" x="34"/>
        <item m="1" x="37"/>
        <item x="16"/>
        <item x="23"/>
        <item x="9"/>
        <item m="1" x="41"/>
        <item m="1" x="42"/>
        <item m="1" x="43"/>
        <item m="1" x="44"/>
        <item m="1" x="45"/>
        <item m="1" x="31"/>
        <item m="1" x="33"/>
        <item m="1" x="26"/>
        <item m="1" x="35"/>
        <item m="1" x="27"/>
        <item m="1" x="39"/>
        <item x="20"/>
        <item x="3"/>
        <item x="21"/>
        <item m="1" x="40"/>
        <item x="4"/>
        <item x="17"/>
        <item x="19"/>
        <item x="8"/>
        <item h="1" x="13"/>
        <item h="1" x="14"/>
        <item h="1" x="25"/>
      </items>
    </pivotField>
    <pivotField axis="axisRow" showAll="0">
      <items count="132">
        <item m="1" x="116"/>
        <item m="1" x="79"/>
        <item x="24"/>
        <item m="1" x="107"/>
        <item m="1" x="63"/>
        <item m="1" x="38"/>
        <item m="1" x="126"/>
        <item m="1" x="85"/>
        <item m="1" x="48"/>
        <item m="1" x="105"/>
        <item m="1" x="49"/>
        <item x="2"/>
        <item m="1" x="77"/>
        <item m="1" x="111"/>
        <item m="1" x="114"/>
        <item m="1" x="95"/>
        <item x="30"/>
        <item x="31"/>
        <item x="18"/>
        <item m="1" x="60"/>
        <item m="1" x="84"/>
        <item m="1" x="64"/>
        <item m="1" x="108"/>
        <item m="1" x="62"/>
        <item m="1" x="61"/>
        <item m="1" x="125"/>
        <item m="1" x="121"/>
        <item m="1" x="118"/>
        <item m="1" x="71"/>
        <item m="1" x="101"/>
        <item m="1" x="94"/>
        <item m="1" x="66"/>
        <item m="1" x="120"/>
        <item m="1" x="73"/>
        <item m="1" x="57"/>
        <item m="1" x="59"/>
        <item m="1" x="129"/>
        <item m="1" x="65"/>
        <item x="29"/>
        <item m="1" x="93"/>
        <item m="1" x="102"/>
        <item m="1" x="40"/>
        <item m="1" x="74"/>
        <item m="1" x="119"/>
        <item m="1" x="45"/>
        <item m="1" x="32"/>
        <item m="1" x="76"/>
        <item m="1" x="99"/>
        <item m="1" x="56"/>
        <item m="1" x="69"/>
        <item m="1" x="34"/>
        <item m="1" x="100"/>
        <item m="1" x="83"/>
        <item x="17"/>
        <item x="20"/>
        <item m="1" x="58"/>
        <item m="1" x="122"/>
        <item m="1" x="47"/>
        <item m="1" x="87"/>
        <item m="1" x="46"/>
        <item m="1" x="50"/>
        <item m="1" x="88"/>
        <item m="1" x="81"/>
        <item m="1" x="53"/>
        <item m="1" x="123"/>
        <item m="1" x="39"/>
        <item m="1" x="86"/>
        <item m="1" x="70"/>
        <item m="1" x="78"/>
        <item m="1" x="36"/>
        <item m="1" x="72"/>
        <item m="1" x="130"/>
        <item x="23"/>
        <item m="1" x="115"/>
        <item m="1" x="124"/>
        <item m="1" x="51"/>
        <item m="1" x="113"/>
        <item m="1" x="44"/>
        <item m="1" x="91"/>
        <item m="1" x="41"/>
        <item x="9"/>
        <item m="1" x="104"/>
        <item m="1" x="68"/>
        <item m="1" x="80"/>
        <item m="1" x="37"/>
        <item m="1" x="103"/>
        <item m="1" x="55"/>
        <item m="1" x="54"/>
        <item m="1" x="43"/>
        <item m="1" x="75"/>
        <item x="27"/>
        <item x="4"/>
        <item m="1" x="110"/>
        <item m="1" x="42"/>
        <item x="11"/>
        <item m="1" x="106"/>
        <item m="1" x="33"/>
        <item m="1" x="97"/>
        <item m="1" x="112"/>
        <item x="0"/>
        <item x="6"/>
        <item m="1" x="96"/>
        <item m="1" x="90"/>
        <item m="1" x="89"/>
        <item m="1" x="127"/>
        <item x="7"/>
        <item x="3"/>
        <item m="1" x="35"/>
        <item m="1" x="128"/>
        <item x="19"/>
        <item m="1" x="52"/>
        <item m="1" x="98"/>
        <item m="1" x="92"/>
        <item x="22"/>
        <item x="1"/>
        <item m="1" x="109"/>
        <item m="1" x="67"/>
        <item m="1" x="117"/>
        <item m="1" x="82"/>
        <item x="8"/>
        <item x="10"/>
        <item x="13"/>
        <item x="14"/>
        <item x="15"/>
        <item x="16"/>
        <item x="5"/>
        <item x="21"/>
        <item x="12"/>
        <item x="25"/>
        <item x="26"/>
        <item x="28"/>
        <item t="default"/>
      </items>
    </pivotField>
    <pivotField showAll="0"/>
    <pivotField axis="axisCol" showAll="0">
      <items count="8">
        <item x="0"/>
        <item m="1" x="5"/>
        <item x="3"/>
        <item m="1" x="4"/>
        <item m="1" x="6"/>
        <item x="2"/>
        <item x="1"/>
        <item t="default"/>
      </items>
    </pivotField>
    <pivotField showAll="0"/>
    <pivotField showAll="0"/>
    <pivotField dataField="1" showAll="0"/>
    <pivotField showAll="0"/>
    <pivotField showAll="0"/>
  </pivotFields>
  <rowFields count="2">
    <field x="3"/>
    <field x="4"/>
  </rowFields>
  <rowItems count="18">
    <i>
      <x v="1"/>
      <x v="53"/>
    </i>
    <i>
      <x v="5"/>
      <x v="54"/>
    </i>
    <i>
      <x v="6"/>
      <x v="105"/>
    </i>
    <i>
      <x v="7"/>
      <x v="114"/>
    </i>
    <i>
      <x v="8"/>
      <x v="120"/>
    </i>
    <i>
      <x v="9"/>
      <x v="100"/>
    </i>
    <i>
      <x v="10"/>
      <x v="127"/>
    </i>
    <i>
      <x v="11"/>
      <x v="94"/>
    </i>
    <i>
      <x v="15"/>
      <x v="125"/>
    </i>
    <i>
      <x v="16"/>
      <x v="38"/>
    </i>
    <i>
      <x v="17"/>
      <x v="11"/>
    </i>
    <i>
      <x v="21"/>
      <x v="18"/>
    </i>
    <i>
      <x v="22"/>
      <x v="90"/>
    </i>
    <i>
      <x v="36"/>
      <x v="106"/>
    </i>
    <i>
      <x v="40"/>
      <x v="109"/>
    </i>
    <i>
      <x v="41"/>
      <x v="126"/>
    </i>
    <i>
      <x v="42"/>
      <x v="130"/>
    </i>
    <i t="grand">
      <x/>
    </i>
  </rowItems>
  <colFields count="1">
    <field x="6"/>
  </colFields>
  <colItems count="2">
    <i>
      <x/>
    </i>
    <i t="grand">
      <x/>
    </i>
  </colItems>
  <pageFields count="2">
    <pageField fld="1" hier="-1"/>
    <pageField fld="2" hier="-1"/>
  </pageFields>
  <dataFields count="1">
    <dataField name="加總 - 奉獻金額" fld="9" baseField="3" baseItem="0" numFmtId="40"/>
  </dataFields>
  <formats count="35">
    <format dxfId="248">
      <pivotArea type="all" dataOnly="0" outline="0" fieldPosition="0"/>
    </format>
    <format dxfId="247">
      <pivotArea outline="0" collapsedLevelsAreSubtotals="1" fieldPosition="0"/>
    </format>
    <format dxfId="246">
      <pivotArea dataOnly="0" labelOnly="1" fieldPosition="0">
        <references count="1">
          <reference field="3" count="16">
            <x v="0"/>
            <x v="1"/>
            <x v="2"/>
            <x v="3"/>
            <x v="4"/>
            <x v="6"/>
            <x v="7"/>
            <x v="8"/>
            <x v="9"/>
            <x v="10"/>
            <x v="11"/>
            <x v="12"/>
            <x v="13"/>
            <x v="15"/>
            <x v="16"/>
            <x v="17"/>
          </reference>
        </references>
      </pivotArea>
    </format>
    <format dxfId="245">
      <pivotArea dataOnly="0" labelOnly="1" grandRow="1" outline="0" fieldPosition="0"/>
    </format>
    <format dxfId="244">
      <pivotArea dataOnly="0" labelOnly="1" fieldPosition="0">
        <references count="2">
          <reference field="3" count="1" selected="0">
            <x v="0"/>
          </reference>
          <reference field="4" count="1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</reference>
        </references>
      </pivotArea>
    </format>
    <format dxfId="243">
      <pivotArea dataOnly="0" labelOnly="1" fieldPosition="0">
        <references count="1">
          <reference field="6" count="0"/>
        </references>
      </pivotArea>
    </format>
    <format dxfId="242">
      <pivotArea dataOnly="0" labelOnly="1" grandCol="1" outline="0" fieldPosition="0"/>
    </format>
    <format dxfId="241">
      <pivotArea dataOnly="0" labelOnly="1" fieldPosition="0">
        <references count="1">
          <reference field="3" count="16">
            <x v="0"/>
            <x v="1"/>
            <x v="2"/>
            <x v="3"/>
            <x v="4"/>
            <x v="6"/>
            <x v="7"/>
            <x v="8"/>
            <x v="9"/>
            <x v="10"/>
            <x v="11"/>
            <x v="12"/>
            <x v="13"/>
            <x v="15"/>
            <x v="16"/>
            <x v="17"/>
          </reference>
        </references>
      </pivotArea>
    </format>
    <format dxfId="240">
      <pivotArea dataOnly="0" labelOnly="1" grandRow="1" outline="0" fieldPosition="0"/>
    </format>
    <format dxfId="239">
      <pivotArea dataOnly="0" labelOnly="1" fieldPosition="0">
        <references count="2">
          <reference field="3" count="1" selected="0">
            <x v="0"/>
          </reference>
          <reference field="4" count="1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</reference>
        </references>
      </pivotArea>
    </format>
    <format dxfId="238">
      <pivotArea dataOnly="0" labelOnly="1" outline="0" fieldPosition="0">
        <references count="1">
          <reference field="1" count="0"/>
        </references>
      </pivotArea>
    </format>
    <format dxfId="237">
      <pivotArea dataOnly="0" outline="0" fieldPosition="0">
        <references count="1">
          <reference field="1" count="0"/>
        </references>
      </pivotArea>
    </format>
    <format dxfId="236">
      <pivotArea collapsedLevelsAreSubtotals="1" fieldPosition="0">
        <references count="3">
          <reference field="3" count="1" selected="0">
            <x v="0"/>
          </reference>
          <reference field="4" count="1">
            <x v="13"/>
          </reference>
          <reference field="6" count="0" selected="0"/>
        </references>
      </pivotArea>
    </format>
    <format dxfId="235">
      <pivotArea collapsedLevelsAreSubtotals="1" fieldPosition="0">
        <references count="3">
          <reference field="3" count="1" selected="0">
            <x v="1"/>
          </reference>
          <reference field="4" count="1">
            <x v="14"/>
          </reference>
          <reference field="6" count="0" selected="0"/>
        </references>
      </pivotArea>
    </format>
    <format dxfId="234">
      <pivotArea collapsedLevelsAreSubtotals="1" fieldPosition="0">
        <references count="3">
          <reference field="3" count="1" selected="0">
            <x v="2"/>
          </reference>
          <reference field="4" count="1">
            <x v="12"/>
          </reference>
          <reference field="6" count="0" selected="0"/>
        </references>
      </pivotArea>
    </format>
    <format dxfId="233">
      <pivotArea collapsedLevelsAreSubtotals="1" fieldPosition="0">
        <references count="3">
          <reference field="3" count="1" selected="0">
            <x v="3"/>
          </reference>
          <reference field="4" count="1">
            <x v="6"/>
          </reference>
          <reference field="6" count="0" selected="0"/>
        </references>
      </pivotArea>
    </format>
    <format dxfId="232">
      <pivotArea collapsedLevelsAreSubtotals="1" fieldPosition="0">
        <references count="3">
          <reference field="3" count="1" selected="0">
            <x v="4"/>
          </reference>
          <reference field="4" count="1">
            <x v="2"/>
          </reference>
          <reference field="6" count="0" selected="0"/>
        </references>
      </pivotArea>
    </format>
    <format dxfId="231">
      <pivotArea collapsedLevelsAreSubtotals="1" fieldPosition="0">
        <references count="3">
          <reference field="3" count="1" selected="0">
            <x v="6"/>
          </reference>
          <reference field="4" count="1">
            <x v="5"/>
          </reference>
          <reference field="6" count="0" selected="0"/>
        </references>
      </pivotArea>
    </format>
    <format dxfId="230">
      <pivotArea collapsedLevelsAreSubtotals="1" fieldPosition="0">
        <references count="3">
          <reference field="3" count="1" selected="0">
            <x v="7"/>
          </reference>
          <reference field="4" count="1">
            <x v="3"/>
          </reference>
          <reference field="6" count="0" selected="0"/>
        </references>
      </pivotArea>
    </format>
    <format dxfId="229">
      <pivotArea collapsedLevelsAreSubtotals="1" fieldPosition="0">
        <references count="3">
          <reference field="3" count="1" selected="0">
            <x v="8"/>
          </reference>
          <reference field="4" count="1">
            <x v="9"/>
          </reference>
          <reference field="6" count="0" selected="0"/>
        </references>
      </pivotArea>
    </format>
    <format dxfId="228">
      <pivotArea collapsedLevelsAreSubtotals="1" fieldPosition="0">
        <references count="3">
          <reference field="3" count="1" selected="0">
            <x v="9"/>
          </reference>
          <reference field="4" count="1">
            <x v="10"/>
          </reference>
          <reference field="6" count="0" selected="0"/>
        </references>
      </pivotArea>
    </format>
    <format dxfId="227">
      <pivotArea collapsedLevelsAreSubtotals="1" fieldPosition="0">
        <references count="3">
          <reference field="3" count="1" selected="0">
            <x v="10"/>
          </reference>
          <reference field="4" count="1">
            <x v="8"/>
          </reference>
          <reference field="6" count="0" selected="0"/>
        </references>
      </pivotArea>
    </format>
    <format dxfId="226">
      <pivotArea collapsedLevelsAreSubtotals="1" fieldPosition="0">
        <references count="3">
          <reference field="3" count="1" selected="0">
            <x v="11"/>
          </reference>
          <reference field="4" count="1">
            <x v="0"/>
          </reference>
          <reference field="6" count="0" selected="0"/>
        </references>
      </pivotArea>
    </format>
    <format dxfId="225">
      <pivotArea collapsedLevelsAreSubtotals="1" fieldPosition="0">
        <references count="3">
          <reference field="3" count="1" selected="0">
            <x v="12"/>
          </reference>
          <reference field="4" count="1">
            <x v="4"/>
          </reference>
          <reference field="6" count="0" selected="0"/>
        </references>
      </pivotArea>
    </format>
    <format dxfId="224">
      <pivotArea collapsedLevelsAreSubtotals="1" fieldPosition="0">
        <references count="3">
          <reference field="3" count="1" selected="0">
            <x v="13"/>
          </reference>
          <reference field="4" count="1">
            <x v="15"/>
          </reference>
          <reference field="6" count="0" selected="0"/>
        </references>
      </pivotArea>
    </format>
    <format dxfId="223">
      <pivotArea collapsedLevelsAreSubtotals="1" fieldPosition="0">
        <references count="3">
          <reference field="3" count="1" selected="0">
            <x v="17"/>
          </reference>
          <reference field="4" count="1">
            <x v="11"/>
          </reference>
          <reference field="6" count="0" selected="0"/>
        </references>
      </pivotArea>
    </format>
    <format dxfId="222">
      <pivotArea field="6" grandRow="1" outline="0" collapsedLevelsAreSubtotals="1" axis="axisCol" fieldPosition="0">
        <references count="1">
          <reference field="6" count="0" selected="0"/>
        </references>
      </pivotArea>
    </format>
    <format dxfId="221">
      <pivotArea dataOnly="0" labelOnly="1" outline="0" fieldPosition="0">
        <references count="1">
          <reference field="2" count="0"/>
        </references>
      </pivotArea>
    </format>
    <format dxfId="220">
      <pivotArea dataOnly="0" labelOnly="1" fieldPosition="0">
        <references count="1">
          <reference field="3" count="21">
            <x v="0"/>
            <x v="1"/>
            <x v="2"/>
            <x v="6"/>
            <x v="7"/>
            <x v="9"/>
            <x v="10"/>
            <x v="11"/>
            <x v="15"/>
            <x v="17"/>
            <x v="19"/>
            <x v="21"/>
            <x v="22"/>
            <x v="23"/>
            <x v="24"/>
            <x v="25"/>
            <x v="26"/>
            <x v="27"/>
            <x v="28"/>
            <x v="29"/>
            <x v="30"/>
          </reference>
        </references>
      </pivotArea>
    </format>
    <format dxfId="219">
      <pivotArea dataOnly="0" labelOnly="1" fieldPosition="0">
        <references count="1">
          <reference field="3" count="17">
            <x v="0"/>
            <x v="1"/>
            <x v="6"/>
            <x v="7"/>
            <x v="8"/>
            <x v="9"/>
            <x v="11"/>
            <x v="17"/>
            <x v="22"/>
            <x v="23"/>
            <x v="24"/>
            <x v="31"/>
            <x v="32"/>
            <x v="33"/>
            <x v="34"/>
            <x v="42"/>
            <x v="45"/>
          </reference>
        </references>
      </pivotArea>
    </format>
    <format dxfId="218">
      <pivotArea dataOnly="0" labelOnly="1" fieldPosition="0">
        <references count="1">
          <reference field="3" count="1">
            <x v="35"/>
          </reference>
        </references>
      </pivotArea>
    </format>
    <format dxfId="217">
      <pivotArea dataOnly="0" labelOnly="1" fieldPosition="0">
        <references count="1">
          <reference field="3" count="3">
            <x v="18"/>
            <x v="19"/>
            <x v="20"/>
          </reference>
        </references>
      </pivotArea>
    </format>
    <format dxfId="216">
      <pivotArea dataOnly="0" labelOnly="1" fieldPosition="0">
        <references count="1">
          <reference field="3" count="1">
            <x v="14"/>
          </reference>
        </references>
      </pivotArea>
    </format>
    <format dxfId="215">
      <pivotArea dataOnly="0" labelOnly="1" fieldPosition="0">
        <references count="1">
          <reference field="3" count="1">
            <x v="5"/>
          </reference>
        </references>
      </pivotArea>
    </format>
    <format dxfId="214">
      <pivotArea dataOnly="0" labelOnly="1" fieldPosition="0">
        <references count="1">
          <reference field="3" count="2">
            <x v="36"/>
            <x v="3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name="樞紐分析表1" cacheId="0" applyNumberFormats="0" applyBorderFormats="0" applyFontFormats="0" applyPatternFormats="0" applyAlignmentFormats="0" applyWidthHeightFormats="1" dataCaption="數值" updatedVersion="5" minRefreshableVersion="3" useAutoFormatting="1" itemPrintTitles="1" createdVersion="5" indent="0" outline="1" outlineData="1" multipleFieldFilters="0">
  <location ref="B6:D8" firstHeaderRow="1" firstDataRow="2" firstDataCol="2" rowPageCount="2" colPageCount="1"/>
  <pivotFields count="12">
    <pivotField showAll="0"/>
    <pivotField axis="axisPage" multipleItemSelectionAllowed="1" showAll="0">
      <items count="14">
        <item h="1" x="0"/>
        <item h="1" x="1"/>
        <item h="1" x="12"/>
        <item h="1" x="2"/>
        <item h="1" x="3"/>
        <item h="1" x="4"/>
        <item h="1" x="5"/>
        <item x="6"/>
        <item h="1" x="7"/>
        <item h="1" x="8"/>
        <item h="1" x="9"/>
        <item h="1" x="10"/>
        <item h="1" x="11"/>
        <item t="default"/>
      </items>
    </pivotField>
    <pivotField axis="axisPage" multipleItemSelectionAllowed="1" showAll="0">
      <items count="56">
        <item m="1" x="53"/>
        <item x="1"/>
        <item x="2"/>
        <item x="3"/>
        <item x="4"/>
        <item x="5"/>
        <item x="6"/>
        <item x="52"/>
        <item x="7"/>
        <item x="8"/>
        <item x="9"/>
        <item x="10"/>
        <item x="11"/>
        <item x="12"/>
        <item x="13"/>
        <item x="14"/>
        <item x="15"/>
        <item x="16"/>
        <item x="17"/>
        <item x="19"/>
        <item x="20"/>
        <item x="21"/>
        <item x="51"/>
        <item x="22"/>
        <item x="23"/>
        <item x="25"/>
        <item m="1" x="54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0"/>
        <item x="18"/>
        <item x="43"/>
        <item x="44"/>
        <item x="45"/>
        <item x="46"/>
        <item x="24"/>
        <item x="47"/>
        <item x="48"/>
        <item x="49"/>
        <item x="50"/>
        <item t="default"/>
      </items>
    </pivotField>
    <pivotField axis="axisRow" outline="0" showAll="0" sortType="ascending" defaultSubtotal="0">
      <items count="46">
        <item m="1" x="36"/>
        <item x="15"/>
        <item m="1" x="38"/>
        <item m="1" x="28"/>
        <item x="22"/>
        <item h="1" x="18"/>
        <item x="7"/>
        <item x="1"/>
        <item x="10"/>
        <item x="6"/>
        <item x="12"/>
        <item x="11"/>
        <item m="1" x="29"/>
        <item m="1" x="30"/>
        <item x="0"/>
        <item x="5"/>
        <item x="24"/>
        <item x="2"/>
        <item m="1" x="32"/>
        <item m="1" x="34"/>
        <item m="1" x="37"/>
        <item x="16"/>
        <item x="23"/>
        <item x="9"/>
        <item m="1" x="41"/>
        <item m="1" x="42"/>
        <item m="1" x="43"/>
        <item m="1" x="44"/>
        <item m="1" x="45"/>
        <item m="1" x="31"/>
        <item m="1" x="33"/>
        <item m="1" x="26"/>
        <item m="1" x="35"/>
        <item m="1" x="27"/>
        <item m="1" x="39"/>
        <item x="20"/>
        <item h="1" x="3"/>
        <item h="1" x="21"/>
        <item h="1" m="1" x="40"/>
        <item h="1" x="4"/>
        <item h="1" x="17"/>
        <item h="1" x="19"/>
        <item x="8"/>
        <item h="1" x="13"/>
        <item h="1" x="14"/>
        <item h="1" x="25"/>
      </items>
    </pivotField>
    <pivotField axis="axisRow" showAll="0">
      <items count="132">
        <item m="1" x="116"/>
        <item m="1" x="79"/>
        <item x="24"/>
        <item m="1" x="107"/>
        <item m="1" x="63"/>
        <item m="1" x="38"/>
        <item m="1" x="126"/>
        <item m="1" x="85"/>
        <item m="1" x="48"/>
        <item m="1" x="105"/>
        <item m="1" x="49"/>
        <item x="2"/>
        <item m="1" x="77"/>
        <item m="1" x="111"/>
        <item m="1" x="114"/>
        <item m="1" x="95"/>
        <item x="30"/>
        <item x="31"/>
        <item x="18"/>
        <item m="1" x="60"/>
        <item m="1" x="84"/>
        <item m="1" x="64"/>
        <item m="1" x="108"/>
        <item m="1" x="62"/>
        <item m="1" x="61"/>
        <item m="1" x="125"/>
        <item m="1" x="121"/>
        <item m="1" x="118"/>
        <item m="1" x="71"/>
        <item m="1" x="101"/>
        <item m="1" x="94"/>
        <item m="1" x="66"/>
        <item m="1" x="120"/>
        <item m="1" x="73"/>
        <item m="1" x="57"/>
        <item m="1" x="59"/>
        <item m="1" x="129"/>
        <item m="1" x="65"/>
        <item x="29"/>
        <item m="1" x="93"/>
        <item m="1" x="102"/>
        <item m="1" x="40"/>
        <item m="1" x="74"/>
        <item m="1" x="119"/>
        <item m="1" x="45"/>
        <item m="1" x="32"/>
        <item m="1" x="76"/>
        <item m="1" x="99"/>
        <item m="1" x="56"/>
        <item m="1" x="69"/>
        <item m="1" x="34"/>
        <item m="1" x="100"/>
        <item m="1" x="83"/>
        <item x="17"/>
        <item x="20"/>
        <item m="1" x="58"/>
        <item m="1" x="122"/>
        <item m="1" x="47"/>
        <item m="1" x="87"/>
        <item m="1" x="46"/>
        <item m="1" x="50"/>
        <item m="1" x="88"/>
        <item m="1" x="81"/>
        <item m="1" x="53"/>
        <item m="1" x="123"/>
        <item m="1" x="39"/>
        <item m="1" x="86"/>
        <item m="1" x="70"/>
        <item m="1" x="78"/>
        <item m="1" x="36"/>
        <item m="1" x="72"/>
        <item m="1" x="130"/>
        <item x="23"/>
        <item m="1" x="115"/>
        <item m="1" x="124"/>
        <item m="1" x="51"/>
        <item m="1" x="113"/>
        <item m="1" x="44"/>
        <item m="1" x="91"/>
        <item m="1" x="41"/>
        <item x="9"/>
        <item m="1" x="104"/>
        <item m="1" x="68"/>
        <item m="1" x="80"/>
        <item m="1" x="37"/>
        <item m="1" x="103"/>
        <item m="1" x="55"/>
        <item m="1" x="54"/>
        <item m="1" x="43"/>
        <item m="1" x="75"/>
        <item x="27"/>
        <item x="4"/>
        <item m="1" x="110"/>
        <item m="1" x="42"/>
        <item x="11"/>
        <item m="1" x="106"/>
        <item m="1" x="33"/>
        <item m="1" x="97"/>
        <item m="1" x="112"/>
        <item x="0"/>
        <item x="6"/>
        <item m="1" x="96"/>
        <item m="1" x="90"/>
        <item m="1" x="89"/>
        <item m="1" x="127"/>
        <item x="7"/>
        <item x="3"/>
        <item m="1" x="35"/>
        <item m="1" x="128"/>
        <item x="19"/>
        <item m="1" x="52"/>
        <item m="1" x="98"/>
        <item m="1" x="92"/>
        <item x="22"/>
        <item x="1"/>
        <item m="1" x="109"/>
        <item m="1" x="67"/>
        <item m="1" x="117"/>
        <item m="1" x="82"/>
        <item x="8"/>
        <item x="10"/>
        <item x="13"/>
        <item x="14"/>
        <item x="15"/>
        <item x="16"/>
        <item x="5"/>
        <item x="21"/>
        <item x="12"/>
        <item x="25"/>
        <item x="26"/>
        <item x="28"/>
        <item t="default"/>
      </items>
    </pivotField>
    <pivotField showAll="0"/>
    <pivotField axis="axisCol" showAll="0">
      <items count="8">
        <item x="0"/>
        <item m="1" x="5"/>
        <item x="3"/>
        <item m="1" x="4"/>
        <item m="1" x="6"/>
        <item x="2"/>
        <item x="1"/>
        <item t="default"/>
      </items>
    </pivotField>
    <pivotField showAll="0"/>
    <pivotField showAll="0"/>
    <pivotField dataField="1" showAll="0"/>
    <pivotField showAll="0"/>
    <pivotField showAll="0"/>
  </pivotFields>
  <rowFields count="2">
    <field x="3"/>
    <field x="4"/>
  </rowFields>
  <rowItems count="1">
    <i t="grand">
      <x/>
    </i>
  </rowItems>
  <colFields count="1">
    <field x="6"/>
  </colFields>
  <colItems count="1">
    <i t="grand">
      <x/>
    </i>
  </colItems>
  <pageFields count="2">
    <pageField fld="1" hier="-1"/>
    <pageField fld="2" hier="-1"/>
  </pageFields>
  <dataFields count="1">
    <dataField name="加總 - 奉獻金額" fld="9" baseField="3" baseItem="0" numFmtId="40"/>
  </dataFields>
  <formats count="33">
    <format dxfId="213">
      <pivotArea type="all" dataOnly="0" outline="0" fieldPosition="0"/>
    </format>
    <format dxfId="212">
      <pivotArea outline="0" collapsedLevelsAreSubtotals="1" fieldPosition="0"/>
    </format>
    <format dxfId="211">
      <pivotArea dataOnly="0" labelOnly="1" fieldPosition="0">
        <references count="1">
          <reference field="3" count="16">
            <x v="0"/>
            <x v="1"/>
            <x v="2"/>
            <x v="3"/>
            <x v="4"/>
            <x v="6"/>
            <x v="7"/>
            <x v="8"/>
            <x v="9"/>
            <x v="10"/>
            <x v="11"/>
            <x v="12"/>
            <x v="13"/>
            <x v="15"/>
            <x v="16"/>
            <x v="17"/>
          </reference>
        </references>
      </pivotArea>
    </format>
    <format dxfId="210">
      <pivotArea dataOnly="0" labelOnly="1" grandRow="1" outline="0" fieldPosition="0"/>
    </format>
    <format dxfId="209">
      <pivotArea dataOnly="0" labelOnly="1" fieldPosition="0">
        <references count="2">
          <reference field="3" count="1" selected="0">
            <x v="0"/>
          </reference>
          <reference field="4" count="1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</reference>
        </references>
      </pivotArea>
    </format>
    <format dxfId="208">
      <pivotArea dataOnly="0" labelOnly="1" fieldPosition="0">
        <references count="1">
          <reference field="6" count="0"/>
        </references>
      </pivotArea>
    </format>
    <format dxfId="207">
      <pivotArea dataOnly="0" labelOnly="1" grandCol="1" outline="0" fieldPosition="0"/>
    </format>
    <format dxfId="206">
      <pivotArea dataOnly="0" labelOnly="1" fieldPosition="0">
        <references count="1">
          <reference field="3" count="16">
            <x v="0"/>
            <x v="1"/>
            <x v="2"/>
            <x v="3"/>
            <x v="4"/>
            <x v="6"/>
            <x v="7"/>
            <x v="8"/>
            <x v="9"/>
            <x v="10"/>
            <x v="11"/>
            <x v="12"/>
            <x v="13"/>
            <x v="15"/>
            <x v="16"/>
            <x v="17"/>
          </reference>
        </references>
      </pivotArea>
    </format>
    <format dxfId="205">
      <pivotArea dataOnly="0" labelOnly="1" grandRow="1" outline="0" fieldPosition="0"/>
    </format>
    <format dxfId="204">
      <pivotArea dataOnly="0" labelOnly="1" fieldPosition="0">
        <references count="2">
          <reference field="3" count="1" selected="0">
            <x v="0"/>
          </reference>
          <reference field="4" count="1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</reference>
        </references>
      </pivotArea>
    </format>
    <format dxfId="203">
      <pivotArea dataOnly="0" labelOnly="1" outline="0" fieldPosition="0">
        <references count="1">
          <reference field="1" count="0"/>
        </references>
      </pivotArea>
    </format>
    <format dxfId="202">
      <pivotArea dataOnly="0" outline="0" fieldPosition="0">
        <references count="1">
          <reference field="1" count="0"/>
        </references>
      </pivotArea>
    </format>
    <format dxfId="201">
      <pivotArea collapsedLevelsAreSubtotals="1" fieldPosition="0">
        <references count="3">
          <reference field="3" count="1" selected="0">
            <x v="0"/>
          </reference>
          <reference field="4" count="1">
            <x v="13"/>
          </reference>
          <reference field="6" count="0" selected="0"/>
        </references>
      </pivotArea>
    </format>
    <format dxfId="200">
      <pivotArea collapsedLevelsAreSubtotals="1" fieldPosition="0">
        <references count="3">
          <reference field="3" count="1" selected="0">
            <x v="1"/>
          </reference>
          <reference field="4" count="1">
            <x v="14"/>
          </reference>
          <reference field="6" count="0" selected="0"/>
        </references>
      </pivotArea>
    </format>
    <format dxfId="199">
      <pivotArea collapsedLevelsAreSubtotals="1" fieldPosition="0">
        <references count="3">
          <reference field="3" count="1" selected="0">
            <x v="2"/>
          </reference>
          <reference field="4" count="1">
            <x v="12"/>
          </reference>
          <reference field="6" count="0" selected="0"/>
        </references>
      </pivotArea>
    </format>
    <format dxfId="198">
      <pivotArea collapsedLevelsAreSubtotals="1" fieldPosition="0">
        <references count="3">
          <reference field="3" count="1" selected="0">
            <x v="3"/>
          </reference>
          <reference field="4" count="1">
            <x v="6"/>
          </reference>
          <reference field="6" count="0" selected="0"/>
        </references>
      </pivotArea>
    </format>
    <format dxfId="197">
      <pivotArea collapsedLevelsAreSubtotals="1" fieldPosition="0">
        <references count="3">
          <reference field="3" count="1" selected="0">
            <x v="4"/>
          </reference>
          <reference field="4" count="1">
            <x v="2"/>
          </reference>
          <reference field="6" count="0" selected="0"/>
        </references>
      </pivotArea>
    </format>
    <format dxfId="196">
      <pivotArea collapsedLevelsAreSubtotals="1" fieldPosition="0">
        <references count="3">
          <reference field="3" count="1" selected="0">
            <x v="6"/>
          </reference>
          <reference field="4" count="1">
            <x v="5"/>
          </reference>
          <reference field="6" count="0" selected="0"/>
        </references>
      </pivotArea>
    </format>
    <format dxfId="195">
      <pivotArea collapsedLevelsAreSubtotals="1" fieldPosition="0">
        <references count="3">
          <reference field="3" count="1" selected="0">
            <x v="7"/>
          </reference>
          <reference field="4" count="1">
            <x v="3"/>
          </reference>
          <reference field="6" count="0" selected="0"/>
        </references>
      </pivotArea>
    </format>
    <format dxfId="194">
      <pivotArea collapsedLevelsAreSubtotals="1" fieldPosition="0">
        <references count="3">
          <reference field="3" count="1" selected="0">
            <x v="8"/>
          </reference>
          <reference field="4" count="1">
            <x v="9"/>
          </reference>
          <reference field="6" count="0" selected="0"/>
        </references>
      </pivotArea>
    </format>
    <format dxfId="193">
      <pivotArea collapsedLevelsAreSubtotals="1" fieldPosition="0">
        <references count="3">
          <reference field="3" count="1" selected="0">
            <x v="9"/>
          </reference>
          <reference field="4" count="1">
            <x v="10"/>
          </reference>
          <reference field="6" count="0" selected="0"/>
        </references>
      </pivotArea>
    </format>
    <format dxfId="192">
      <pivotArea collapsedLevelsAreSubtotals="1" fieldPosition="0">
        <references count="3">
          <reference field="3" count="1" selected="0">
            <x v="10"/>
          </reference>
          <reference field="4" count="1">
            <x v="8"/>
          </reference>
          <reference field="6" count="0" selected="0"/>
        </references>
      </pivotArea>
    </format>
    <format dxfId="191">
      <pivotArea collapsedLevelsAreSubtotals="1" fieldPosition="0">
        <references count="3">
          <reference field="3" count="1" selected="0">
            <x v="11"/>
          </reference>
          <reference field="4" count="1">
            <x v="0"/>
          </reference>
          <reference field="6" count="0" selected="0"/>
        </references>
      </pivotArea>
    </format>
    <format dxfId="190">
      <pivotArea collapsedLevelsAreSubtotals="1" fieldPosition="0">
        <references count="3">
          <reference field="3" count="1" selected="0">
            <x v="12"/>
          </reference>
          <reference field="4" count="1">
            <x v="4"/>
          </reference>
          <reference field="6" count="0" selected="0"/>
        </references>
      </pivotArea>
    </format>
    <format dxfId="189">
      <pivotArea collapsedLevelsAreSubtotals="1" fieldPosition="0">
        <references count="3">
          <reference field="3" count="1" selected="0">
            <x v="13"/>
          </reference>
          <reference field="4" count="1">
            <x v="15"/>
          </reference>
          <reference field="6" count="0" selected="0"/>
        </references>
      </pivotArea>
    </format>
    <format dxfId="188">
      <pivotArea collapsedLevelsAreSubtotals="1" fieldPosition="0">
        <references count="3">
          <reference field="3" count="1" selected="0">
            <x v="17"/>
          </reference>
          <reference field="4" count="1">
            <x v="11"/>
          </reference>
          <reference field="6" count="0" selected="0"/>
        </references>
      </pivotArea>
    </format>
    <format dxfId="187">
      <pivotArea field="6" grandRow="1" outline="0" collapsedLevelsAreSubtotals="1" axis="axisCol" fieldPosition="0">
        <references count="1">
          <reference field="6" count="0" selected="0"/>
        </references>
      </pivotArea>
    </format>
    <format dxfId="186">
      <pivotArea dataOnly="0" labelOnly="1" outline="0" fieldPosition="0">
        <references count="1">
          <reference field="2" count="0"/>
        </references>
      </pivotArea>
    </format>
    <format dxfId="185">
      <pivotArea dataOnly="0" labelOnly="1" fieldPosition="0">
        <references count="1">
          <reference field="3" count="21">
            <x v="0"/>
            <x v="1"/>
            <x v="2"/>
            <x v="6"/>
            <x v="7"/>
            <x v="9"/>
            <x v="10"/>
            <x v="11"/>
            <x v="15"/>
            <x v="17"/>
            <x v="19"/>
            <x v="21"/>
            <x v="22"/>
            <x v="23"/>
            <x v="24"/>
            <x v="25"/>
            <x v="26"/>
            <x v="27"/>
            <x v="28"/>
            <x v="29"/>
            <x v="30"/>
          </reference>
        </references>
      </pivotArea>
    </format>
    <format dxfId="184">
      <pivotArea dataOnly="0" labelOnly="1" fieldPosition="0">
        <references count="1">
          <reference field="3" count="17">
            <x v="0"/>
            <x v="1"/>
            <x v="6"/>
            <x v="7"/>
            <x v="8"/>
            <x v="9"/>
            <x v="11"/>
            <x v="17"/>
            <x v="22"/>
            <x v="23"/>
            <x v="24"/>
            <x v="31"/>
            <x v="32"/>
            <x v="33"/>
            <x v="34"/>
            <x v="42"/>
            <x v="45"/>
          </reference>
        </references>
      </pivotArea>
    </format>
    <format dxfId="183">
      <pivotArea dataOnly="0" labelOnly="1" fieldPosition="0">
        <references count="1">
          <reference field="3" count="1">
            <x v="35"/>
          </reference>
        </references>
      </pivotArea>
    </format>
    <format dxfId="182">
      <pivotArea dataOnly="0" labelOnly="1" fieldPosition="0">
        <references count="1">
          <reference field="3" count="3">
            <x v="18"/>
            <x v="19"/>
            <x v="20"/>
          </reference>
        </references>
      </pivotArea>
    </format>
    <format dxfId="181">
      <pivotArea dataOnly="0" labelOnly="1" fieldPosition="0">
        <references count="1">
          <reference field="3" count="1">
            <x v="1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name="樞紐分析表2" cacheId="0" applyNumberFormats="0" applyBorderFormats="0" applyFontFormats="0" applyPatternFormats="0" applyAlignmentFormats="0" applyWidthHeightFormats="1" dataCaption="數值" updatedVersion="5" minRefreshableVersion="3" useAutoFormatting="1" itemPrintTitles="1" createdVersion="5" indent="0" outline="1" outlineData="1" multipleFieldFilters="0">
  <location ref="B7:E10" firstHeaderRow="1" firstDataRow="2" firstDataCol="2" rowPageCount="2" colPageCount="1"/>
  <pivotFields count="12">
    <pivotField showAll="0"/>
    <pivotField axis="axisPage" multipleItemSelectionAllowed="1" showAll="0">
      <items count="14">
        <item h="1" x="0"/>
        <item h="1" x="1"/>
        <item h="1" x="12"/>
        <item h="1" x="2"/>
        <item h="1" x="3"/>
        <item h="1" x="4"/>
        <item h="1" x="5"/>
        <item h="1" x="6"/>
        <item x="7"/>
        <item h="1" x="8"/>
        <item h="1" x="9"/>
        <item h="1" x="10"/>
        <item h="1" x="11"/>
        <item t="default"/>
      </items>
    </pivotField>
    <pivotField axis="axisPage" multipleItemSelectionAllowed="1" showAll="0">
      <items count="56">
        <item m="1" x="53"/>
        <item x="1"/>
        <item x="2"/>
        <item x="3"/>
        <item x="4"/>
        <item x="5"/>
        <item x="6"/>
        <item x="52"/>
        <item x="7"/>
        <item x="8"/>
        <item x="9"/>
        <item x="10"/>
        <item x="11"/>
        <item x="12"/>
        <item x="13"/>
        <item x="14"/>
        <item x="15"/>
        <item x="16"/>
        <item x="17"/>
        <item x="19"/>
        <item x="20"/>
        <item x="21"/>
        <item x="51"/>
        <item x="22"/>
        <item x="23"/>
        <item x="25"/>
        <item m="1" x="54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0"/>
        <item x="18"/>
        <item x="43"/>
        <item x="44"/>
        <item x="45"/>
        <item x="46"/>
        <item x="24"/>
        <item x="47"/>
        <item x="48"/>
        <item x="49"/>
        <item x="50"/>
        <item t="default"/>
      </items>
    </pivotField>
    <pivotField axis="axisRow" outline="0" showAll="0" sortType="ascending" defaultSubtotal="0">
      <items count="46">
        <item m="1" x="36"/>
        <item x="15"/>
        <item m="1" x="38"/>
        <item m="1" x="28"/>
        <item x="22"/>
        <item x="18"/>
        <item x="7"/>
        <item x="1"/>
        <item x="10"/>
        <item x="6"/>
        <item x="12"/>
        <item x="11"/>
        <item m="1" x="29"/>
        <item m="1" x="30"/>
        <item x="0"/>
        <item x="5"/>
        <item x="24"/>
        <item x="2"/>
        <item m="1" x="32"/>
        <item m="1" x="34"/>
        <item m="1" x="37"/>
        <item x="16"/>
        <item x="23"/>
        <item x="9"/>
        <item m="1" x="41"/>
        <item m="1" x="42"/>
        <item m="1" x="43"/>
        <item m="1" x="44"/>
        <item m="1" x="45"/>
        <item m="1" x="31"/>
        <item m="1" x="33"/>
        <item m="1" x="26"/>
        <item m="1" x="35"/>
        <item m="1" x="27"/>
        <item m="1" x="39"/>
        <item x="20"/>
        <item x="3"/>
        <item x="21"/>
        <item m="1" x="40"/>
        <item x="4"/>
        <item x="17"/>
        <item x="19"/>
        <item x="8"/>
        <item x="13"/>
        <item x="14"/>
        <item x="25"/>
      </items>
    </pivotField>
    <pivotField axis="axisRow" showAll="0">
      <items count="132">
        <item m="1" x="116"/>
        <item m="1" x="79"/>
        <item x="24"/>
        <item m="1" x="107"/>
        <item m="1" x="63"/>
        <item m="1" x="38"/>
        <item m="1" x="126"/>
        <item m="1" x="85"/>
        <item m="1" x="48"/>
        <item m="1" x="105"/>
        <item m="1" x="49"/>
        <item x="2"/>
        <item m="1" x="77"/>
        <item m="1" x="111"/>
        <item m="1" x="114"/>
        <item m="1" x="95"/>
        <item x="30"/>
        <item x="31"/>
        <item x="18"/>
        <item m="1" x="60"/>
        <item m="1" x="84"/>
        <item m="1" x="64"/>
        <item m="1" x="108"/>
        <item m="1" x="62"/>
        <item m="1" x="61"/>
        <item m="1" x="125"/>
        <item m="1" x="121"/>
        <item m="1" x="118"/>
        <item m="1" x="71"/>
        <item m="1" x="101"/>
        <item m="1" x="94"/>
        <item m="1" x="66"/>
        <item m="1" x="120"/>
        <item m="1" x="73"/>
        <item m="1" x="57"/>
        <item m="1" x="59"/>
        <item m="1" x="129"/>
        <item m="1" x="65"/>
        <item x="29"/>
        <item m="1" x="93"/>
        <item m="1" x="102"/>
        <item m="1" x="40"/>
        <item m="1" x="74"/>
        <item m="1" x="119"/>
        <item m="1" x="45"/>
        <item m="1" x="32"/>
        <item m="1" x="76"/>
        <item m="1" x="99"/>
        <item m="1" x="56"/>
        <item m="1" x="69"/>
        <item m="1" x="34"/>
        <item m="1" x="100"/>
        <item m="1" x="83"/>
        <item x="17"/>
        <item x="20"/>
        <item m="1" x="58"/>
        <item m="1" x="122"/>
        <item m="1" x="47"/>
        <item m="1" x="87"/>
        <item m="1" x="46"/>
        <item m="1" x="50"/>
        <item m="1" x="88"/>
        <item m="1" x="81"/>
        <item m="1" x="53"/>
        <item m="1" x="123"/>
        <item m="1" x="39"/>
        <item m="1" x="86"/>
        <item m="1" x="70"/>
        <item m="1" x="78"/>
        <item m="1" x="36"/>
        <item m="1" x="72"/>
        <item m="1" x="130"/>
        <item x="23"/>
        <item m="1" x="115"/>
        <item m="1" x="124"/>
        <item m="1" x="51"/>
        <item m="1" x="113"/>
        <item m="1" x="44"/>
        <item m="1" x="91"/>
        <item m="1" x="41"/>
        <item x="9"/>
        <item m="1" x="104"/>
        <item m="1" x="68"/>
        <item m="1" x="80"/>
        <item m="1" x="37"/>
        <item m="1" x="103"/>
        <item m="1" x="55"/>
        <item m="1" x="54"/>
        <item m="1" x="43"/>
        <item m="1" x="75"/>
        <item x="27"/>
        <item x="4"/>
        <item m="1" x="110"/>
        <item m="1" x="42"/>
        <item x="11"/>
        <item m="1" x="106"/>
        <item m="1" x="33"/>
        <item m="1" x="97"/>
        <item m="1" x="112"/>
        <item x="0"/>
        <item x="6"/>
        <item m="1" x="96"/>
        <item m="1" x="90"/>
        <item m="1" x="89"/>
        <item m="1" x="127"/>
        <item x="7"/>
        <item x="3"/>
        <item m="1" x="35"/>
        <item m="1" x="128"/>
        <item x="19"/>
        <item m="1" x="52"/>
        <item m="1" x="98"/>
        <item m="1" x="92"/>
        <item x="22"/>
        <item x="1"/>
        <item m="1" x="109"/>
        <item m="1" x="67"/>
        <item m="1" x="117"/>
        <item m="1" x="82"/>
        <item x="8"/>
        <item x="10"/>
        <item x="13"/>
        <item x="14"/>
        <item x="15"/>
        <item x="16"/>
        <item x="5"/>
        <item x="21"/>
        <item x="12"/>
        <item x="25"/>
        <item x="26"/>
        <item x="28"/>
        <item t="default"/>
      </items>
    </pivotField>
    <pivotField showAll="0"/>
    <pivotField axis="axisCol" showAll="0">
      <items count="8">
        <item x="0"/>
        <item m="1" x="5"/>
        <item x="3"/>
        <item m="1" x="4"/>
        <item m="1" x="6"/>
        <item x="2"/>
        <item x="1"/>
        <item t="default"/>
      </items>
    </pivotField>
    <pivotField showAll="0"/>
    <pivotField showAll="0"/>
    <pivotField dataField="1" showAll="0"/>
    <pivotField showAll="0"/>
    <pivotField showAll="0"/>
  </pivotFields>
  <rowFields count="2">
    <field x="3"/>
    <field x="4"/>
  </rowFields>
  <rowItems count="2">
    <i>
      <x v="45"/>
      <x v="16"/>
    </i>
    <i t="grand">
      <x/>
    </i>
  </rowItems>
  <colFields count="1">
    <field x="6"/>
  </colFields>
  <colItems count="2">
    <i>
      <x/>
    </i>
    <i t="grand">
      <x/>
    </i>
  </colItems>
  <pageFields count="2">
    <pageField fld="1" hier="-1"/>
    <pageField fld="2" hier="-1"/>
  </pageFields>
  <dataFields count="1">
    <dataField name="加總 - 奉獻金額" fld="9" baseField="3" baseItem="0" numFmtId="40"/>
  </dataFields>
  <formats count="34">
    <format dxfId="180">
      <pivotArea type="all" dataOnly="0" outline="0" fieldPosition="0"/>
    </format>
    <format dxfId="179">
      <pivotArea outline="0" collapsedLevelsAreSubtotals="1" fieldPosition="0"/>
    </format>
    <format dxfId="178">
      <pivotArea dataOnly="0" labelOnly="1" fieldPosition="0">
        <references count="1">
          <reference field="3" count="16">
            <x v="0"/>
            <x v="1"/>
            <x v="2"/>
            <x v="3"/>
            <x v="4"/>
            <x v="6"/>
            <x v="7"/>
            <x v="8"/>
            <x v="9"/>
            <x v="10"/>
            <x v="11"/>
            <x v="12"/>
            <x v="13"/>
            <x v="15"/>
            <x v="16"/>
            <x v="17"/>
          </reference>
        </references>
      </pivotArea>
    </format>
    <format dxfId="177">
      <pivotArea dataOnly="0" labelOnly="1" grandRow="1" outline="0" fieldPosition="0"/>
    </format>
    <format dxfId="176">
      <pivotArea dataOnly="0" labelOnly="1" fieldPosition="0">
        <references count="2">
          <reference field="3" count="1" selected="0">
            <x v="0"/>
          </reference>
          <reference field="4" count="1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</reference>
        </references>
      </pivotArea>
    </format>
    <format dxfId="175">
      <pivotArea dataOnly="0" labelOnly="1" fieldPosition="0">
        <references count="1">
          <reference field="6" count="0"/>
        </references>
      </pivotArea>
    </format>
    <format dxfId="174">
      <pivotArea dataOnly="0" labelOnly="1" grandCol="1" outline="0" fieldPosition="0"/>
    </format>
    <format dxfId="173">
      <pivotArea dataOnly="0" labelOnly="1" fieldPosition="0">
        <references count="1">
          <reference field="3" count="16">
            <x v="0"/>
            <x v="1"/>
            <x v="2"/>
            <x v="3"/>
            <x v="4"/>
            <x v="6"/>
            <x v="7"/>
            <x v="8"/>
            <x v="9"/>
            <x v="10"/>
            <x v="11"/>
            <x v="12"/>
            <x v="13"/>
            <x v="15"/>
            <x v="16"/>
            <x v="17"/>
          </reference>
        </references>
      </pivotArea>
    </format>
    <format dxfId="172">
      <pivotArea dataOnly="0" labelOnly="1" grandRow="1" outline="0" fieldPosition="0"/>
    </format>
    <format dxfId="171">
      <pivotArea dataOnly="0" labelOnly="1" fieldPosition="0">
        <references count="2">
          <reference field="3" count="1" selected="0">
            <x v="0"/>
          </reference>
          <reference field="4" count="1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</reference>
        </references>
      </pivotArea>
    </format>
    <format dxfId="170">
      <pivotArea dataOnly="0" labelOnly="1" outline="0" fieldPosition="0">
        <references count="1">
          <reference field="1" count="0"/>
        </references>
      </pivotArea>
    </format>
    <format dxfId="169">
      <pivotArea dataOnly="0" outline="0" fieldPosition="0">
        <references count="1">
          <reference field="1" count="0"/>
        </references>
      </pivotArea>
    </format>
    <format dxfId="168">
      <pivotArea collapsedLevelsAreSubtotals="1" fieldPosition="0">
        <references count="3">
          <reference field="3" count="1" selected="0">
            <x v="0"/>
          </reference>
          <reference field="4" count="1">
            <x v="13"/>
          </reference>
          <reference field="6" count="0" selected="0"/>
        </references>
      </pivotArea>
    </format>
    <format dxfId="167">
      <pivotArea collapsedLevelsAreSubtotals="1" fieldPosition="0">
        <references count="3">
          <reference field="3" count="1" selected="0">
            <x v="1"/>
          </reference>
          <reference field="4" count="1">
            <x v="14"/>
          </reference>
          <reference field="6" count="0" selected="0"/>
        </references>
      </pivotArea>
    </format>
    <format dxfId="166">
      <pivotArea collapsedLevelsAreSubtotals="1" fieldPosition="0">
        <references count="3">
          <reference field="3" count="1" selected="0">
            <x v="2"/>
          </reference>
          <reference field="4" count="1">
            <x v="12"/>
          </reference>
          <reference field="6" count="0" selected="0"/>
        </references>
      </pivotArea>
    </format>
    <format dxfId="165">
      <pivotArea collapsedLevelsAreSubtotals="1" fieldPosition="0">
        <references count="3">
          <reference field="3" count="1" selected="0">
            <x v="3"/>
          </reference>
          <reference field="4" count="1">
            <x v="6"/>
          </reference>
          <reference field="6" count="0" selected="0"/>
        </references>
      </pivotArea>
    </format>
    <format dxfId="164">
      <pivotArea collapsedLevelsAreSubtotals="1" fieldPosition="0">
        <references count="3">
          <reference field="3" count="1" selected="0">
            <x v="4"/>
          </reference>
          <reference field="4" count="1">
            <x v="2"/>
          </reference>
          <reference field="6" count="0" selected="0"/>
        </references>
      </pivotArea>
    </format>
    <format dxfId="163">
      <pivotArea collapsedLevelsAreSubtotals="1" fieldPosition="0">
        <references count="3">
          <reference field="3" count="1" selected="0">
            <x v="6"/>
          </reference>
          <reference field="4" count="1">
            <x v="5"/>
          </reference>
          <reference field="6" count="0" selected="0"/>
        </references>
      </pivotArea>
    </format>
    <format dxfId="162">
      <pivotArea collapsedLevelsAreSubtotals="1" fieldPosition="0">
        <references count="3">
          <reference field="3" count="1" selected="0">
            <x v="7"/>
          </reference>
          <reference field="4" count="1">
            <x v="3"/>
          </reference>
          <reference field="6" count="0" selected="0"/>
        </references>
      </pivotArea>
    </format>
    <format dxfId="161">
      <pivotArea collapsedLevelsAreSubtotals="1" fieldPosition="0">
        <references count="3">
          <reference field="3" count="1" selected="0">
            <x v="8"/>
          </reference>
          <reference field="4" count="1">
            <x v="9"/>
          </reference>
          <reference field="6" count="0" selected="0"/>
        </references>
      </pivotArea>
    </format>
    <format dxfId="160">
      <pivotArea collapsedLevelsAreSubtotals="1" fieldPosition="0">
        <references count="3">
          <reference field="3" count="1" selected="0">
            <x v="9"/>
          </reference>
          <reference field="4" count="1">
            <x v="10"/>
          </reference>
          <reference field="6" count="0" selected="0"/>
        </references>
      </pivotArea>
    </format>
    <format dxfId="159">
      <pivotArea collapsedLevelsAreSubtotals="1" fieldPosition="0">
        <references count="3">
          <reference field="3" count="1" selected="0">
            <x v="10"/>
          </reference>
          <reference field="4" count="1">
            <x v="8"/>
          </reference>
          <reference field="6" count="0" selected="0"/>
        </references>
      </pivotArea>
    </format>
    <format dxfId="158">
      <pivotArea collapsedLevelsAreSubtotals="1" fieldPosition="0">
        <references count="3">
          <reference field="3" count="1" selected="0">
            <x v="11"/>
          </reference>
          <reference field="4" count="1">
            <x v="0"/>
          </reference>
          <reference field="6" count="0" selected="0"/>
        </references>
      </pivotArea>
    </format>
    <format dxfId="157">
      <pivotArea collapsedLevelsAreSubtotals="1" fieldPosition="0">
        <references count="3">
          <reference field="3" count="1" selected="0">
            <x v="12"/>
          </reference>
          <reference field="4" count="1">
            <x v="4"/>
          </reference>
          <reference field="6" count="0" selected="0"/>
        </references>
      </pivotArea>
    </format>
    <format dxfId="156">
      <pivotArea collapsedLevelsAreSubtotals="1" fieldPosition="0">
        <references count="3">
          <reference field="3" count="1" selected="0">
            <x v="13"/>
          </reference>
          <reference field="4" count="1">
            <x v="15"/>
          </reference>
          <reference field="6" count="0" selected="0"/>
        </references>
      </pivotArea>
    </format>
    <format dxfId="155">
      <pivotArea collapsedLevelsAreSubtotals="1" fieldPosition="0">
        <references count="3">
          <reference field="3" count="1" selected="0">
            <x v="17"/>
          </reference>
          <reference field="4" count="1">
            <x v="11"/>
          </reference>
          <reference field="6" count="0" selected="0"/>
        </references>
      </pivotArea>
    </format>
    <format dxfId="154">
      <pivotArea field="6" grandRow="1" outline="0" collapsedLevelsAreSubtotals="1" axis="axisCol" fieldPosition="0">
        <references count="1">
          <reference field="6" count="0" selected="0"/>
        </references>
      </pivotArea>
    </format>
    <format dxfId="153">
      <pivotArea dataOnly="0" labelOnly="1" outline="0" fieldPosition="0">
        <references count="1">
          <reference field="2" count="0"/>
        </references>
      </pivotArea>
    </format>
    <format dxfId="152">
      <pivotArea dataOnly="0" labelOnly="1" fieldPosition="0">
        <references count="1">
          <reference field="3" count="21">
            <x v="0"/>
            <x v="1"/>
            <x v="2"/>
            <x v="6"/>
            <x v="7"/>
            <x v="9"/>
            <x v="10"/>
            <x v="11"/>
            <x v="15"/>
            <x v="17"/>
            <x v="19"/>
            <x v="21"/>
            <x v="22"/>
            <x v="23"/>
            <x v="24"/>
            <x v="25"/>
            <x v="26"/>
            <x v="27"/>
            <x v="28"/>
            <x v="29"/>
            <x v="30"/>
          </reference>
        </references>
      </pivotArea>
    </format>
    <format dxfId="151">
      <pivotArea dataOnly="0" labelOnly="1" fieldPosition="0">
        <references count="1">
          <reference field="3" count="17">
            <x v="0"/>
            <x v="1"/>
            <x v="6"/>
            <x v="7"/>
            <x v="8"/>
            <x v="9"/>
            <x v="11"/>
            <x v="17"/>
            <x v="22"/>
            <x v="23"/>
            <x v="24"/>
            <x v="31"/>
            <x v="32"/>
            <x v="33"/>
            <x v="34"/>
            <x v="42"/>
            <x v="45"/>
          </reference>
        </references>
      </pivotArea>
    </format>
    <format dxfId="150">
      <pivotArea dataOnly="0" labelOnly="1" fieldPosition="0">
        <references count="1">
          <reference field="3" count="1">
            <x v="35"/>
          </reference>
        </references>
      </pivotArea>
    </format>
    <format dxfId="149">
      <pivotArea dataOnly="0" labelOnly="1" fieldPosition="0">
        <references count="1">
          <reference field="3" count="3">
            <x v="18"/>
            <x v="19"/>
            <x v="20"/>
          </reference>
        </references>
      </pivotArea>
    </format>
    <format dxfId="148">
      <pivotArea dataOnly="0" labelOnly="1" fieldPosition="0">
        <references count="1">
          <reference field="3" count="1">
            <x v="14"/>
          </reference>
        </references>
      </pivotArea>
    </format>
    <format dxfId="147">
      <pivotArea dataOnly="0" labelOnly="1" fieldPosition="0">
        <references count="1">
          <reference field="3" count="1">
            <x v="3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name="樞紐分析表2" cacheId="0" applyNumberFormats="0" applyBorderFormats="0" applyFontFormats="0" applyPatternFormats="0" applyAlignmentFormats="0" applyWidthHeightFormats="1" dataCaption="數值" updatedVersion="5" minRefreshableVersion="3" useAutoFormatting="1" itemPrintTitles="1" createdVersion="5" indent="0" outline="1" outlineData="1" multipleFieldFilters="0">
  <location ref="B7:E10" firstHeaderRow="1" firstDataRow="2" firstDataCol="2" rowPageCount="2" colPageCount="1"/>
  <pivotFields count="12">
    <pivotField showAll="0"/>
    <pivotField axis="axisPage" multipleItemSelectionAllowed="1" showAll="0">
      <items count="14">
        <item h="1" x="0"/>
        <item h="1" x="1"/>
        <item h="1" x="12"/>
        <item h="1" x="2"/>
        <item h="1" x="3"/>
        <item h="1" x="4"/>
        <item h="1" x="5"/>
        <item h="1" x="6"/>
        <item h="1" x="7"/>
        <item x="8"/>
        <item h="1" x="9"/>
        <item h="1" x="10"/>
        <item h="1" x="11"/>
        <item t="default"/>
      </items>
    </pivotField>
    <pivotField axis="axisPage" multipleItemSelectionAllowed="1" showAll="0">
      <items count="56">
        <item m="1" x="53"/>
        <item x="1"/>
        <item x="2"/>
        <item x="3"/>
        <item x="4"/>
        <item x="5"/>
        <item x="6"/>
        <item x="52"/>
        <item x="7"/>
        <item x="8"/>
        <item x="9"/>
        <item x="10"/>
        <item x="11"/>
        <item x="12"/>
        <item x="13"/>
        <item x="14"/>
        <item x="15"/>
        <item x="16"/>
        <item x="17"/>
        <item x="19"/>
        <item x="20"/>
        <item x="21"/>
        <item x="51"/>
        <item x="22"/>
        <item x="23"/>
        <item x="25"/>
        <item m="1" x="54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0"/>
        <item x="18"/>
        <item x="43"/>
        <item x="44"/>
        <item x="45"/>
        <item x="46"/>
        <item x="24"/>
        <item x="47"/>
        <item x="48"/>
        <item x="49"/>
        <item x="50"/>
        <item t="default"/>
      </items>
    </pivotField>
    <pivotField axis="axisRow" outline="0" showAll="0" sortType="ascending" defaultSubtotal="0">
      <items count="46">
        <item m="1" x="36"/>
        <item x="15"/>
        <item m="1" x="38"/>
        <item m="1" x="28"/>
        <item x="22"/>
        <item x="18"/>
        <item x="7"/>
        <item x="1"/>
        <item x="10"/>
        <item x="6"/>
        <item x="12"/>
        <item x="11"/>
        <item m="1" x="29"/>
        <item m="1" x="30"/>
        <item x="0"/>
        <item x="5"/>
        <item x="24"/>
        <item x="2"/>
        <item m="1" x="32"/>
        <item m="1" x="34"/>
        <item m="1" x="37"/>
        <item x="16"/>
        <item x="23"/>
        <item x="9"/>
        <item m="1" x="41"/>
        <item m="1" x="42"/>
        <item m="1" x="43"/>
        <item m="1" x="44"/>
        <item m="1" x="45"/>
        <item m="1" x="31"/>
        <item m="1" x="33"/>
        <item m="1" x="26"/>
        <item m="1" x="35"/>
        <item m="1" x="27"/>
        <item m="1" x="39"/>
        <item x="20"/>
        <item x="3"/>
        <item x="21"/>
        <item m="1" x="40"/>
        <item x="4"/>
        <item x="17"/>
        <item x="19"/>
        <item x="8"/>
        <item x="13"/>
        <item x="14"/>
        <item x="25"/>
      </items>
    </pivotField>
    <pivotField axis="axisRow" showAll="0">
      <items count="132">
        <item m="1" x="116"/>
        <item m="1" x="79"/>
        <item x="24"/>
        <item m="1" x="107"/>
        <item m="1" x="63"/>
        <item m="1" x="38"/>
        <item m="1" x="126"/>
        <item m="1" x="85"/>
        <item m="1" x="48"/>
        <item m="1" x="105"/>
        <item m="1" x="49"/>
        <item x="2"/>
        <item m="1" x="77"/>
        <item m="1" x="111"/>
        <item m="1" x="114"/>
        <item m="1" x="95"/>
        <item x="30"/>
        <item x="31"/>
        <item x="18"/>
        <item m="1" x="60"/>
        <item m="1" x="84"/>
        <item m="1" x="64"/>
        <item m="1" x="108"/>
        <item m="1" x="62"/>
        <item m="1" x="61"/>
        <item m="1" x="125"/>
        <item m="1" x="121"/>
        <item m="1" x="118"/>
        <item m="1" x="71"/>
        <item m="1" x="101"/>
        <item m="1" x="94"/>
        <item m="1" x="66"/>
        <item m="1" x="120"/>
        <item m="1" x="73"/>
        <item m="1" x="57"/>
        <item m="1" x="59"/>
        <item m="1" x="129"/>
        <item m="1" x="65"/>
        <item x="29"/>
        <item m="1" x="93"/>
        <item m="1" x="102"/>
        <item m="1" x="40"/>
        <item m="1" x="74"/>
        <item m="1" x="119"/>
        <item m="1" x="45"/>
        <item m="1" x="32"/>
        <item m="1" x="76"/>
        <item m="1" x="99"/>
        <item m="1" x="56"/>
        <item m="1" x="69"/>
        <item m="1" x="34"/>
        <item m="1" x="100"/>
        <item m="1" x="83"/>
        <item x="17"/>
        <item x="20"/>
        <item m="1" x="58"/>
        <item m="1" x="122"/>
        <item m="1" x="47"/>
        <item m="1" x="87"/>
        <item m="1" x="46"/>
        <item m="1" x="50"/>
        <item m="1" x="88"/>
        <item m="1" x="81"/>
        <item m="1" x="53"/>
        <item m="1" x="123"/>
        <item m="1" x="39"/>
        <item m="1" x="86"/>
        <item m="1" x="70"/>
        <item m="1" x="78"/>
        <item m="1" x="36"/>
        <item m="1" x="72"/>
        <item m="1" x="130"/>
        <item x="23"/>
        <item m="1" x="115"/>
        <item m="1" x="124"/>
        <item m="1" x="51"/>
        <item m="1" x="113"/>
        <item m="1" x="44"/>
        <item m="1" x="91"/>
        <item m="1" x="41"/>
        <item x="9"/>
        <item m="1" x="104"/>
        <item m="1" x="68"/>
        <item m="1" x="80"/>
        <item m="1" x="37"/>
        <item m="1" x="103"/>
        <item m="1" x="55"/>
        <item m="1" x="54"/>
        <item m="1" x="43"/>
        <item m="1" x="75"/>
        <item x="27"/>
        <item x="4"/>
        <item m="1" x="110"/>
        <item m="1" x="42"/>
        <item x="11"/>
        <item m="1" x="106"/>
        <item m="1" x="33"/>
        <item m="1" x="97"/>
        <item m="1" x="112"/>
        <item x="0"/>
        <item x="6"/>
        <item m="1" x="96"/>
        <item m="1" x="90"/>
        <item m="1" x="89"/>
        <item m="1" x="127"/>
        <item x="7"/>
        <item x="3"/>
        <item m="1" x="35"/>
        <item m="1" x="128"/>
        <item x="19"/>
        <item m="1" x="52"/>
        <item m="1" x="98"/>
        <item m="1" x="92"/>
        <item x="22"/>
        <item x="1"/>
        <item m="1" x="109"/>
        <item m="1" x="67"/>
        <item m="1" x="117"/>
        <item m="1" x="82"/>
        <item x="8"/>
        <item x="10"/>
        <item x="13"/>
        <item x="14"/>
        <item x="15"/>
        <item x="16"/>
        <item x="5"/>
        <item x="21"/>
        <item x="12"/>
        <item x="25"/>
        <item x="26"/>
        <item x="28"/>
        <item t="default"/>
      </items>
    </pivotField>
    <pivotField showAll="0"/>
    <pivotField axis="axisCol" showAll="0">
      <items count="8">
        <item x="0"/>
        <item m="1" x="5"/>
        <item x="3"/>
        <item m="1" x="4"/>
        <item m="1" x="6"/>
        <item x="2"/>
        <item x="1"/>
        <item t="default"/>
      </items>
    </pivotField>
    <pivotField showAll="0"/>
    <pivotField showAll="0"/>
    <pivotField dataField="1" showAll="0"/>
    <pivotField showAll="0"/>
    <pivotField showAll="0"/>
  </pivotFields>
  <rowFields count="2">
    <field x="3"/>
    <field x="4"/>
  </rowFields>
  <rowItems count="2">
    <i>
      <x v="45"/>
      <x v="16"/>
    </i>
    <i t="grand">
      <x/>
    </i>
  </rowItems>
  <colFields count="1">
    <field x="6"/>
  </colFields>
  <colItems count="2">
    <i>
      <x/>
    </i>
    <i t="grand">
      <x/>
    </i>
  </colItems>
  <pageFields count="2">
    <pageField fld="1" hier="-1"/>
    <pageField fld="2" hier="-1"/>
  </pageFields>
  <dataFields count="1">
    <dataField name="加總 - 奉獻金額" fld="9" baseField="3" baseItem="0" numFmtId="40"/>
  </dataFields>
  <formats count="36">
    <format dxfId="146">
      <pivotArea type="all" dataOnly="0" outline="0" fieldPosition="0"/>
    </format>
    <format dxfId="145">
      <pivotArea outline="0" collapsedLevelsAreSubtotals="1" fieldPosition="0"/>
    </format>
    <format dxfId="144">
      <pivotArea dataOnly="0" labelOnly="1" fieldPosition="0">
        <references count="1">
          <reference field="3" count="16">
            <x v="0"/>
            <x v="1"/>
            <x v="2"/>
            <x v="3"/>
            <x v="4"/>
            <x v="6"/>
            <x v="7"/>
            <x v="8"/>
            <x v="9"/>
            <x v="10"/>
            <x v="11"/>
            <x v="12"/>
            <x v="13"/>
            <x v="15"/>
            <x v="16"/>
            <x v="17"/>
          </reference>
        </references>
      </pivotArea>
    </format>
    <format dxfId="143">
      <pivotArea dataOnly="0" labelOnly="1" grandRow="1" outline="0" fieldPosition="0"/>
    </format>
    <format dxfId="142">
      <pivotArea dataOnly="0" labelOnly="1" fieldPosition="0">
        <references count="2">
          <reference field="3" count="1" selected="0">
            <x v="0"/>
          </reference>
          <reference field="4" count="1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</reference>
        </references>
      </pivotArea>
    </format>
    <format dxfId="141">
      <pivotArea dataOnly="0" labelOnly="1" fieldPosition="0">
        <references count="1">
          <reference field="6" count="0"/>
        </references>
      </pivotArea>
    </format>
    <format dxfId="140">
      <pivotArea dataOnly="0" labelOnly="1" grandCol="1" outline="0" fieldPosition="0"/>
    </format>
    <format dxfId="139">
      <pivotArea dataOnly="0" labelOnly="1" fieldPosition="0">
        <references count="1">
          <reference field="3" count="16">
            <x v="0"/>
            <x v="1"/>
            <x v="2"/>
            <x v="3"/>
            <x v="4"/>
            <x v="6"/>
            <x v="7"/>
            <x v="8"/>
            <x v="9"/>
            <x v="10"/>
            <x v="11"/>
            <x v="12"/>
            <x v="13"/>
            <x v="15"/>
            <x v="16"/>
            <x v="17"/>
          </reference>
        </references>
      </pivotArea>
    </format>
    <format dxfId="138">
      <pivotArea dataOnly="0" labelOnly="1" grandRow="1" outline="0" fieldPosition="0"/>
    </format>
    <format dxfId="137">
      <pivotArea dataOnly="0" labelOnly="1" fieldPosition="0">
        <references count="2">
          <reference field="3" count="1" selected="0">
            <x v="0"/>
          </reference>
          <reference field="4" count="1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</reference>
        </references>
      </pivotArea>
    </format>
    <format dxfId="136">
      <pivotArea dataOnly="0" labelOnly="1" outline="0" fieldPosition="0">
        <references count="1">
          <reference field="1" count="0"/>
        </references>
      </pivotArea>
    </format>
    <format dxfId="135">
      <pivotArea dataOnly="0" outline="0" fieldPosition="0">
        <references count="1">
          <reference field="1" count="0"/>
        </references>
      </pivotArea>
    </format>
    <format dxfId="134">
      <pivotArea collapsedLevelsAreSubtotals="1" fieldPosition="0">
        <references count="3">
          <reference field="3" count="1" selected="0">
            <x v="0"/>
          </reference>
          <reference field="4" count="1">
            <x v="13"/>
          </reference>
          <reference field="6" count="0" selected="0"/>
        </references>
      </pivotArea>
    </format>
    <format dxfId="133">
      <pivotArea collapsedLevelsAreSubtotals="1" fieldPosition="0">
        <references count="3">
          <reference field="3" count="1" selected="0">
            <x v="1"/>
          </reference>
          <reference field="4" count="1">
            <x v="14"/>
          </reference>
          <reference field="6" count="0" selected="0"/>
        </references>
      </pivotArea>
    </format>
    <format dxfId="132">
      <pivotArea collapsedLevelsAreSubtotals="1" fieldPosition="0">
        <references count="3">
          <reference field="3" count="1" selected="0">
            <x v="2"/>
          </reference>
          <reference field="4" count="1">
            <x v="12"/>
          </reference>
          <reference field="6" count="0" selected="0"/>
        </references>
      </pivotArea>
    </format>
    <format dxfId="131">
      <pivotArea collapsedLevelsAreSubtotals="1" fieldPosition="0">
        <references count="3">
          <reference field="3" count="1" selected="0">
            <x v="3"/>
          </reference>
          <reference field="4" count="1">
            <x v="6"/>
          </reference>
          <reference field="6" count="0" selected="0"/>
        </references>
      </pivotArea>
    </format>
    <format dxfId="130">
      <pivotArea collapsedLevelsAreSubtotals="1" fieldPosition="0">
        <references count="3">
          <reference field="3" count="1" selected="0">
            <x v="4"/>
          </reference>
          <reference field="4" count="1">
            <x v="2"/>
          </reference>
          <reference field="6" count="0" selected="0"/>
        </references>
      </pivotArea>
    </format>
    <format dxfId="129">
      <pivotArea collapsedLevelsAreSubtotals="1" fieldPosition="0">
        <references count="3">
          <reference field="3" count="1" selected="0">
            <x v="6"/>
          </reference>
          <reference field="4" count="1">
            <x v="5"/>
          </reference>
          <reference field="6" count="0" selected="0"/>
        </references>
      </pivotArea>
    </format>
    <format dxfId="128">
      <pivotArea collapsedLevelsAreSubtotals="1" fieldPosition="0">
        <references count="3">
          <reference field="3" count="1" selected="0">
            <x v="7"/>
          </reference>
          <reference field="4" count="1">
            <x v="3"/>
          </reference>
          <reference field="6" count="0" selected="0"/>
        </references>
      </pivotArea>
    </format>
    <format dxfId="127">
      <pivotArea collapsedLevelsAreSubtotals="1" fieldPosition="0">
        <references count="3">
          <reference field="3" count="1" selected="0">
            <x v="8"/>
          </reference>
          <reference field="4" count="1">
            <x v="9"/>
          </reference>
          <reference field="6" count="0" selected="0"/>
        </references>
      </pivotArea>
    </format>
    <format dxfId="126">
      <pivotArea collapsedLevelsAreSubtotals="1" fieldPosition="0">
        <references count="3">
          <reference field="3" count="1" selected="0">
            <x v="9"/>
          </reference>
          <reference field="4" count="1">
            <x v="10"/>
          </reference>
          <reference field="6" count="0" selected="0"/>
        </references>
      </pivotArea>
    </format>
    <format dxfId="125">
      <pivotArea collapsedLevelsAreSubtotals="1" fieldPosition="0">
        <references count="3">
          <reference field="3" count="1" selected="0">
            <x v="10"/>
          </reference>
          <reference field="4" count="1">
            <x v="8"/>
          </reference>
          <reference field="6" count="0" selected="0"/>
        </references>
      </pivotArea>
    </format>
    <format dxfId="124">
      <pivotArea collapsedLevelsAreSubtotals="1" fieldPosition="0">
        <references count="3">
          <reference field="3" count="1" selected="0">
            <x v="11"/>
          </reference>
          <reference field="4" count="1">
            <x v="0"/>
          </reference>
          <reference field="6" count="0" selected="0"/>
        </references>
      </pivotArea>
    </format>
    <format dxfId="123">
      <pivotArea collapsedLevelsAreSubtotals="1" fieldPosition="0">
        <references count="3">
          <reference field="3" count="1" selected="0">
            <x v="12"/>
          </reference>
          <reference field="4" count="1">
            <x v="4"/>
          </reference>
          <reference field="6" count="0" selected="0"/>
        </references>
      </pivotArea>
    </format>
    <format dxfId="122">
      <pivotArea collapsedLevelsAreSubtotals="1" fieldPosition="0">
        <references count="3">
          <reference field="3" count="1" selected="0">
            <x v="13"/>
          </reference>
          <reference field="4" count="1">
            <x v="15"/>
          </reference>
          <reference field="6" count="0" selected="0"/>
        </references>
      </pivotArea>
    </format>
    <format dxfId="121">
      <pivotArea collapsedLevelsAreSubtotals="1" fieldPosition="0">
        <references count="3">
          <reference field="3" count="1" selected="0">
            <x v="17"/>
          </reference>
          <reference field="4" count="1">
            <x v="11"/>
          </reference>
          <reference field="6" count="0" selected="0"/>
        </references>
      </pivotArea>
    </format>
    <format dxfId="120">
      <pivotArea field="6" grandRow="1" outline="0" collapsedLevelsAreSubtotals="1" axis="axisCol" fieldPosition="0">
        <references count="1">
          <reference field="6" count="0" selected="0"/>
        </references>
      </pivotArea>
    </format>
    <format dxfId="119">
      <pivotArea dataOnly="0" labelOnly="1" outline="0" fieldPosition="0">
        <references count="1">
          <reference field="2" count="0"/>
        </references>
      </pivotArea>
    </format>
    <format dxfId="118">
      <pivotArea dataOnly="0" labelOnly="1" fieldPosition="0">
        <references count="1">
          <reference field="3" count="21">
            <x v="0"/>
            <x v="1"/>
            <x v="2"/>
            <x v="6"/>
            <x v="7"/>
            <x v="9"/>
            <x v="10"/>
            <x v="11"/>
            <x v="15"/>
            <x v="17"/>
            <x v="19"/>
            <x v="21"/>
            <x v="22"/>
            <x v="23"/>
            <x v="24"/>
            <x v="25"/>
            <x v="26"/>
            <x v="27"/>
            <x v="28"/>
            <x v="29"/>
            <x v="30"/>
          </reference>
        </references>
      </pivotArea>
    </format>
    <format dxfId="117">
      <pivotArea dataOnly="0" labelOnly="1" fieldPosition="0">
        <references count="1">
          <reference field="3" count="17">
            <x v="0"/>
            <x v="1"/>
            <x v="6"/>
            <x v="7"/>
            <x v="8"/>
            <x v="9"/>
            <x v="11"/>
            <x v="17"/>
            <x v="22"/>
            <x v="23"/>
            <x v="24"/>
            <x v="31"/>
            <x v="32"/>
            <x v="33"/>
            <x v="34"/>
            <x v="42"/>
            <x v="45"/>
          </reference>
        </references>
      </pivotArea>
    </format>
    <format dxfId="116">
      <pivotArea dataOnly="0" labelOnly="1" fieldPosition="0">
        <references count="1">
          <reference field="3" count="1">
            <x v="35"/>
          </reference>
        </references>
      </pivotArea>
    </format>
    <format dxfId="115">
      <pivotArea dataOnly="0" labelOnly="1" fieldPosition="0">
        <references count="1">
          <reference field="3" count="3">
            <x v="18"/>
            <x v="19"/>
            <x v="20"/>
          </reference>
        </references>
      </pivotArea>
    </format>
    <format dxfId="114">
      <pivotArea dataOnly="0" labelOnly="1" fieldPosition="0">
        <references count="1">
          <reference field="3" count="1">
            <x v="14"/>
          </reference>
        </references>
      </pivotArea>
    </format>
    <format dxfId="113">
      <pivotArea dataOnly="0" labelOnly="1" fieldPosition="0">
        <references count="1">
          <reference field="3" count="1">
            <x v="36"/>
          </reference>
        </references>
      </pivotArea>
    </format>
    <format dxfId="112">
      <pivotArea dataOnly="0" labelOnly="1" fieldPosition="0">
        <references count="1">
          <reference field="3" count="1">
            <x v="39"/>
          </reference>
        </references>
      </pivotArea>
    </format>
    <format dxfId="111">
      <pivotArea dataOnly="0" labelOnly="1" fieldPosition="0">
        <references count="1">
          <reference field="3" count="1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name="樞紐分析表4" cacheId="0" applyNumberFormats="0" applyBorderFormats="0" applyFontFormats="0" applyPatternFormats="0" applyAlignmentFormats="0" applyWidthHeightFormats="1" dataCaption="數值" updatedVersion="5" minRefreshableVersion="3" useAutoFormatting="1" itemPrintTitles="1" createdVersion="5" indent="0" outline="1" outlineData="1" multipleFieldFilters="0">
  <location ref="B6:G10" firstHeaderRow="1" firstDataRow="2" firstDataCol="2" rowPageCount="2" colPageCount="1"/>
  <pivotFields count="12">
    <pivotField showAll="0"/>
    <pivotField axis="axisPage" multipleItemSelectionAllowed="1" showAll="0">
      <items count="14">
        <item h="1" x="0"/>
        <item h="1" x="1"/>
        <item h="1" x="12"/>
        <item h="1" x="2"/>
        <item h="1" x="3"/>
        <item h="1" x="4"/>
        <item h="1" x="5"/>
        <item h="1" x="6"/>
        <item h="1" x="7"/>
        <item h="1" x="8"/>
        <item x="9"/>
        <item h="1" x="10"/>
        <item h="1" x="11"/>
        <item t="default"/>
      </items>
    </pivotField>
    <pivotField axis="axisPage" multipleItemSelectionAllowed="1" showAll="0">
      <items count="56">
        <item m="1" x="53"/>
        <item x="1"/>
        <item x="2"/>
        <item x="3"/>
        <item x="4"/>
        <item x="5"/>
        <item x="6"/>
        <item x="52"/>
        <item x="7"/>
        <item x="8"/>
        <item x="9"/>
        <item x="10"/>
        <item x="11"/>
        <item x="12"/>
        <item x="13"/>
        <item x="14"/>
        <item x="15"/>
        <item x="16"/>
        <item x="17"/>
        <item x="19"/>
        <item x="20"/>
        <item x="21"/>
        <item x="51"/>
        <item x="22"/>
        <item x="23"/>
        <item x="25"/>
        <item m="1" x="54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0"/>
        <item x="18"/>
        <item x="43"/>
        <item x="44"/>
        <item x="45"/>
        <item x="46"/>
        <item x="24"/>
        <item x="47"/>
        <item x="48"/>
        <item x="49"/>
        <item x="50"/>
        <item t="default"/>
      </items>
    </pivotField>
    <pivotField axis="axisRow" outline="0" showAll="0" sortType="ascending" defaultSubtotal="0">
      <items count="46">
        <item m="1" x="36"/>
        <item x="15"/>
        <item m="1" x="38"/>
        <item m="1" x="28"/>
        <item x="22"/>
        <item x="18"/>
        <item x="7"/>
        <item x="1"/>
        <item x="10"/>
        <item x="6"/>
        <item x="12"/>
        <item x="11"/>
        <item m="1" x="29"/>
        <item m="1" x="30"/>
        <item x="0"/>
        <item x="5"/>
        <item x="24"/>
        <item x="2"/>
        <item m="1" x="32"/>
        <item m="1" x="34"/>
        <item m="1" x="37"/>
        <item x="16"/>
        <item x="23"/>
        <item x="9"/>
        <item m="1" x="41"/>
        <item m="1" x="42"/>
        <item m="1" x="43"/>
        <item m="1" x="44"/>
        <item m="1" x="45"/>
        <item m="1" x="31"/>
        <item m="1" x="33"/>
        <item m="1" x="26"/>
        <item m="1" x="35"/>
        <item m="1" x="27"/>
        <item m="1" x="39"/>
        <item x="20"/>
        <item x="3"/>
        <item x="21"/>
        <item m="1" x="40"/>
        <item x="4"/>
        <item x="17"/>
        <item x="19"/>
        <item x="8"/>
        <item x="13"/>
        <item x="14"/>
        <item x="25"/>
      </items>
    </pivotField>
    <pivotField axis="axisRow" showAll="0">
      <items count="132">
        <item m="1" x="116"/>
        <item m="1" x="79"/>
        <item x="24"/>
        <item m="1" x="107"/>
        <item m="1" x="63"/>
        <item m="1" x="38"/>
        <item m="1" x="126"/>
        <item m="1" x="85"/>
        <item m="1" x="48"/>
        <item m="1" x="105"/>
        <item m="1" x="49"/>
        <item x="2"/>
        <item m="1" x="77"/>
        <item m="1" x="111"/>
        <item m="1" x="114"/>
        <item m="1" x="95"/>
        <item x="30"/>
        <item x="31"/>
        <item x="18"/>
        <item m="1" x="60"/>
        <item m="1" x="84"/>
        <item m="1" x="64"/>
        <item m="1" x="108"/>
        <item m="1" x="62"/>
        <item m="1" x="61"/>
        <item m="1" x="125"/>
        <item m="1" x="121"/>
        <item m="1" x="118"/>
        <item m="1" x="71"/>
        <item m="1" x="101"/>
        <item m="1" x="94"/>
        <item m="1" x="66"/>
        <item m="1" x="120"/>
        <item m="1" x="73"/>
        <item m="1" x="57"/>
        <item m="1" x="59"/>
        <item m="1" x="129"/>
        <item m="1" x="65"/>
        <item x="29"/>
        <item m="1" x="93"/>
        <item m="1" x="102"/>
        <item m="1" x="40"/>
        <item m="1" x="74"/>
        <item m="1" x="119"/>
        <item m="1" x="45"/>
        <item m="1" x="32"/>
        <item m="1" x="76"/>
        <item m="1" x="99"/>
        <item m="1" x="56"/>
        <item m="1" x="69"/>
        <item m="1" x="34"/>
        <item m="1" x="100"/>
        <item m="1" x="83"/>
        <item x="17"/>
        <item x="20"/>
        <item m="1" x="58"/>
        <item m="1" x="122"/>
        <item m="1" x="47"/>
        <item m="1" x="87"/>
        <item m="1" x="46"/>
        <item m="1" x="50"/>
        <item m="1" x="88"/>
        <item m="1" x="81"/>
        <item m="1" x="53"/>
        <item m="1" x="123"/>
        <item m="1" x="39"/>
        <item m="1" x="86"/>
        <item m="1" x="70"/>
        <item m="1" x="78"/>
        <item m="1" x="36"/>
        <item m="1" x="72"/>
        <item m="1" x="130"/>
        <item x="23"/>
        <item m="1" x="115"/>
        <item m="1" x="124"/>
        <item m="1" x="51"/>
        <item m="1" x="113"/>
        <item m="1" x="44"/>
        <item m="1" x="91"/>
        <item m="1" x="41"/>
        <item x="9"/>
        <item m="1" x="104"/>
        <item m="1" x="68"/>
        <item m="1" x="80"/>
        <item m="1" x="37"/>
        <item m="1" x="103"/>
        <item m="1" x="55"/>
        <item m="1" x="54"/>
        <item m="1" x="43"/>
        <item m="1" x="75"/>
        <item x="27"/>
        <item x="4"/>
        <item m="1" x="110"/>
        <item m="1" x="42"/>
        <item x="11"/>
        <item m="1" x="106"/>
        <item m="1" x="33"/>
        <item m="1" x="97"/>
        <item m="1" x="112"/>
        <item x="0"/>
        <item x="6"/>
        <item m="1" x="96"/>
        <item m="1" x="90"/>
        <item m="1" x="89"/>
        <item m="1" x="127"/>
        <item x="7"/>
        <item x="3"/>
        <item m="1" x="35"/>
        <item m="1" x="128"/>
        <item x="19"/>
        <item m="1" x="52"/>
        <item m="1" x="98"/>
        <item m="1" x="92"/>
        <item x="22"/>
        <item x="1"/>
        <item m="1" x="109"/>
        <item m="1" x="67"/>
        <item m="1" x="117"/>
        <item m="1" x="82"/>
        <item x="8"/>
        <item x="10"/>
        <item x="13"/>
        <item x="14"/>
        <item x="15"/>
        <item x="16"/>
        <item x="5"/>
        <item x="21"/>
        <item x="12"/>
        <item x="25"/>
        <item x="26"/>
        <item x="28"/>
        <item t="default"/>
      </items>
    </pivotField>
    <pivotField showAll="0"/>
    <pivotField axis="axisCol" showAll="0">
      <items count="8">
        <item x="0"/>
        <item m="1" x="5"/>
        <item x="3"/>
        <item m="1" x="4"/>
        <item m="1" x="6"/>
        <item x="2"/>
        <item x="1"/>
        <item t="default"/>
      </items>
    </pivotField>
    <pivotField showAll="0"/>
    <pivotField showAll="0"/>
    <pivotField dataField="1" showAll="0"/>
    <pivotField showAll="0"/>
    <pivotField showAll="0"/>
  </pivotFields>
  <rowFields count="2">
    <field x="3"/>
    <field x="4"/>
  </rowFields>
  <rowItems count="3">
    <i>
      <x v="45"/>
      <x v="16"/>
    </i>
    <i r="1">
      <x v="17"/>
    </i>
    <i t="grand">
      <x/>
    </i>
  </rowItems>
  <colFields count="1">
    <field x="6"/>
  </colFields>
  <colItems count="4">
    <i>
      <x/>
    </i>
    <i>
      <x v="2"/>
    </i>
    <i>
      <x v="5"/>
    </i>
    <i t="grand">
      <x/>
    </i>
  </colItems>
  <pageFields count="2">
    <pageField fld="1" hier="-1"/>
    <pageField fld="2" hier="-1"/>
  </pageFields>
  <dataFields count="1">
    <dataField name="加總 - 奉獻金額" fld="9" baseField="3" baseItem="0" numFmtId="40"/>
  </dataFields>
  <formats count="35">
    <format dxfId="110">
      <pivotArea type="all" dataOnly="0" outline="0" fieldPosition="0"/>
    </format>
    <format dxfId="109">
      <pivotArea outline="0" collapsedLevelsAreSubtotals="1" fieldPosition="0"/>
    </format>
    <format dxfId="108">
      <pivotArea dataOnly="0" labelOnly="1" fieldPosition="0">
        <references count="1">
          <reference field="3" count="16">
            <x v="0"/>
            <x v="1"/>
            <x v="2"/>
            <x v="3"/>
            <x v="4"/>
            <x v="6"/>
            <x v="7"/>
            <x v="8"/>
            <x v="9"/>
            <x v="10"/>
            <x v="11"/>
            <x v="12"/>
            <x v="13"/>
            <x v="15"/>
            <x v="16"/>
            <x v="17"/>
          </reference>
        </references>
      </pivotArea>
    </format>
    <format dxfId="107">
      <pivotArea dataOnly="0" labelOnly="1" grandRow="1" outline="0" fieldPosition="0"/>
    </format>
    <format dxfId="106">
      <pivotArea dataOnly="0" labelOnly="1" fieldPosition="0">
        <references count="2">
          <reference field="3" count="1" selected="0">
            <x v="0"/>
          </reference>
          <reference field="4" count="1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</reference>
        </references>
      </pivotArea>
    </format>
    <format dxfId="105">
      <pivotArea dataOnly="0" labelOnly="1" fieldPosition="0">
        <references count="1">
          <reference field="6" count="0"/>
        </references>
      </pivotArea>
    </format>
    <format dxfId="104">
      <pivotArea dataOnly="0" labelOnly="1" grandCol="1" outline="0" fieldPosition="0"/>
    </format>
    <format dxfId="103">
      <pivotArea dataOnly="0" labelOnly="1" fieldPosition="0">
        <references count="1">
          <reference field="3" count="16">
            <x v="0"/>
            <x v="1"/>
            <x v="2"/>
            <x v="3"/>
            <x v="4"/>
            <x v="6"/>
            <x v="7"/>
            <x v="8"/>
            <x v="9"/>
            <x v="10"/>
            <x v="11"/>
            <x v="12"/>
            <x v="13"/>
            <x v="15"/>
            <x v="16"/>
            <x v="17"/>
          </reference>
        </references>
      </pivotArea>
    </format>
    <format dxfId="102">
      <pivotArea dataOnly="0" labelOnly="1" grandRow="1" outline="0" fieldPosition="0"/>
    </format>
    <format dxfId="101">
      <pivotArea dataOnly="0" labelOnly="1" fieldPosition="0">
        <references count="2">
          <reference field="3" count="1" selected="0">
            <x v="0"/>
          </reference>
          <reference field="4" count="1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</reference>
        </references>
      </pivotArea>
    </format>
    <format dxfId="100">
      <pivotArea dataOnly="0" labelOnly="1" outline="0" fieldPosition="0">
        <references count="1">
          <reference field="1" count="0"/>
        </references>
      </pivotArea>
    </format>
    <format dxfId="99">
      <pivotArea dataOnly="0" outline="0" fieldPosition="0">
        <references count="1">
          <reference field="1" count="0"/>
        </references>
      </pivotArea>
    </format>
    <format dxfId="98">
      <pivotArea collapsedLevelsAreSubtotals="1" fieldPosition="0">
        <references count="3">
          <reference field="3" count="1" selected="0">
            <x v="0"/>
          </reference>
          <reference field="4" count="1">
            <x v="13"/>
          </reference>
          <reference field="6" count="0" selected="0"/>
        </references>
      </pivotArea>
    </format>
    <format dxfId="97">
      <pivotArea collapsedLevelsAreSubtotals="1" fieldPosition="0">
        <references count="3">
          <reference field="3" count="1" selected="0">
            <x v="1"/>
          </reference>
          <reference field="4" count="1">
            <x v="14"/>
          </reference>
          <reference field="6" count="0" selected="0"/>
        </references>
      </pivotArea>
    </format>
    <format dxfId="96">
      <pivotArea collapsedLevelsAreSubtotals="1" fieldPosition="0">
        <references count="3">
          <reference field="3" count="1" selected="0">
            <x v="2"/>
          </reference>
          <reference field="4" count="1">
            <x v="12"/>
          </reference>
          <reference field="6" count="0" selected="0"/>
        </references>
      </pivotArea>
    </format>
    <format dxfId="95">
      <pivotArea collapsedLevelsAreSubtotals="1" fieldPosition="0">
        <references count="3">
          <reference field="3" count="1" selected="0">
            <x v="3"/>
          </reference>
          <reference field="4" count="1">
            <x v="6"/>
          </reference>
          <reference field="6" count="0" selected="0"/>
        </references>
      </pivotArea>
    </format>
    <format dxfId="94">
      <pivotArea collapsedLevelsAreSubtotals="1" fieldPosition="0">
        <references count="3">
          <reference field="3" count="1" selected="0">
            <x v="4"/>
          </reference>
          <reference field="4" count="1">
            <x v="2"/>
          </reference>
          <reference field="6" count="0" selected="0"/>
        </references>
      </pivotArea>
    </format>
    <format dxfId="93">
      <pivotArea collapsedLevelsAreSubtotals="1" fieldPosition="0">
        <references count="3">
          <reference field="3" count="1" selected="0">
            <x v="6"/>
          </reference>
          <reference field="4" count="1">
            <x v="5"/>
          </reference>
          <reference field="6" count="0" selected="0"/>
        </references>
      </pivotArea>
    </format>
    <format dxfId="92">
      <pivotArea collapsedLevelsAreSubtotals="1" fieldPosition="0">
        <references count="3">
          <reference field="3" count="1" selected="0">
            <x v="7"/>
          </reference>
          <reference field="4" count="1">
            <x v="3"/>
          </reference>
          <reference field="6" count="0" selected="0"/>
        </references>
      </pivotArea>
    </format>
    <format dxfId="91">
      <pivotArea collapsedLevelsAreSubtotals="1" fieldPosition="0">
        <references count="3">
          <reference field="3" count="1" selected="0">
            <x v="8"/>
          </reference>
          <reference field="4" count="1">
            <x v="9"/>
          </reference>
          <reference field="6" count="0" selected="0"/>
        </references>
      </pivotArea>
    </format>
    <format dxfId="90">
      <pivotArea collapsedLevelsAreSubtotals="1" fieldPosition="0">
        <references count="3">
          <reference field="3" count="1" selected="0">
            <x v="9"/>
          </reference>
          <reference field="4" count="1">
            <x v="10"/>
          </reference>
          <reference field="6" count="0" selected="0"/>
        </references>
      </pivotArea>
    </format>
    <format dxfId="89">
      <pivotArea collapsedLevelsAreSubtotals="1" fieldPosition="0">
        <references count="3">
          <reference field="3" count="1" selected="0">
            <x v="10"/>
          </reference>
          <reference field="4" count="1">
            <x v="8"/>
          </reference>
          <reference field="6" count="0" selected="0"/>
        </references>
      </pivotArea>
    </format>
    <format dxfId="88">
      <pivotArea collapsedLevelsAreSubtotals="1" fieldPosition="0">
        <references count="3">
          <reference field="3" count="1" selected="0">
            <x v="11"/>
          </reference>
          <reference field="4" count="1">
            <x v="0"/>
          </reference>
          <reference field="6" count="0" selected="0"/>
        </references>
      </pivotArea>
    </format>
    <format dxfId="87">
      <pivotArea collapsedLevelsAreSubtotals="1" fieldPosition="0">
        <references count="3">
          <reference field="3" count="1" selected="0">
            <x v="12"/>
          </reference>
          <reference field="4" count="1">
            <x v="4"/>
          </reference>
          <reference field="6" count="0" selected="0"/>
        </references>
      </pivotArea>
    </format>
    <format dxfId="86">
      <pivotArea collapsedLevelsAreSubtotals="1" fieldPosition="0">
        <references count="3">
          <reference field="3" count="1" selected="0">
            <x v="13"/>
          </reference>
          <reference field="4" count="1">
            <x v="15"/>
          </reference>
          <reference field="6" count="0" selected="0"/>
        </references>
      </pivotArea>
    </format>
    <format dxfId="85">
      <pivotArea collapsedLevelsAreSubtotals="1" fieldPosition="0">
        <references count="3">
          <reference field="3" count="1" selected="0">
            <x v="17"/>
          </reference>
          <reference field="4" count="1">
            <x v="11"/>
          </reference>
          <reference field="6" count="0" selected="0"/>
        </references>
      </pivotArea>
    </format>
    <format dxfId="84">
      <pivotArea field="6" grandRow="1" outline="0" collapsedLevelsAreSubtotals="1" axis="axisCol" fieldPosition="0">
        <references count="1">
          <reference field="6" count="0" selected="0"/>
        </references>
      </pivotArea>
    </format>
    <format dxfId="83">
      <pivotArea dataOnly="0" labelOnly="1" outline="0" fieldPosition="0">
        <references count="1">
          <reference field="2" count="0"/>
        </references>
      </pivotArea>
    </format>
    <format dxfId="82">
      <pivotArea dataOnly="0" labelOnly="1" fieldPosition="0">
        <references count="1">
          <reference field="3" count="21">
            <x v="0"/>
            <x v="1"/>
            <x v="2"/>
            <x v="6"/>
            <x v="7"/>
            <x v="9"/>
            <x v="10"/>
            <x v="11"/>
            <x v="15"/>
            <x v="17"/>
            <x v="19"/>
            <x v="21"/>
            <x v="22"/>
            <x v="23"/>
            <x v="24"/>
            <x v="25"/>
            <x v="26"/>
            <x v="27"/>
            <x v="28"/>
            <x v="29"/>
            <x v="30"/>
          </reference>
        </references>
      </pivotArea>
    </format>
    <format dxfId="81">
      <pivotArea dataOnly="0" labelOnly="1" fieldPosition="0">
        <references count="1">
          <reference field="3" count="17">
            <x v="0"/>
            <x v="1"/>
            <x v="6"/>
            <x v="7"/>
            <x v="8"/>
            <x v="9"/>
            <x v="11"/>
            <x v="17"/>
            <x v="22"/>
            <x v="23"/>
            <x v="24"/>
            <x v="31"/>
            <x v="32"/>
            <x v="33"/>
            <x v="34"/>
            <x v="42"/>
            <x v="45"/>
          </reference>
        </references>
      </pivotArea>
    </format>
    <format dxfId="80">
      <pivotArea dataOnly="0" labelOnly="1" fieldPosition="0">
        <references count="1">
          <reference field="3" count="1">
            <x v="35"/>
          </reference>
        </references>
      </pivotArea>
    </format>
    <format dxfId="79">
      <pivotArea dataOnly="0" labelOnly="1" fieldPosition="0">
        <references count="1">
          <reference field="3" count="3">
            <x v="18"/>
            <x v="19"/>
            <x v="20"/>
          </reference>
        </references>
      </pivotArea>
    </format>
    <format dxfId="78">
      <pivotArea dataOnly="0" labelOnly="1" fieldPosition="0">
        <references count="1">
          <reference field="3" count="1">
            <x v="14"/>
          </reference>
        </references>
      </pivotArea>
    </format>
    <format dxfId="77">
      <pivotArea dataOnly="0" labelOnly="1" fieldPosition="0">
        <references count="1">
          <reference field="3" count="1">
            <x v="36"/>
          </reference>
        </references>
      </pivotArea>
    </format>
    <format dxfId="76">
      <pivotArea dataOnly="0" labelOnly="1" fieldPosition="0">
        <references count="1">
          <reference field="3" count="3">
            <x v="37"/>
            <x v="39"/>
            <x v="4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name="樞紐分析表2" cacheId="0" applyNumberFormats="0" applyBorderFormats="0" applyFontFormats="0" applyPatternFormats="0" applyAlignmentFormats="0" applyWidthHeightFormats="1" dataCaption="數值" updatedVersion="5" minRefreshableVersion="3" useAutoFormatting="1" itemPrintTitles="1" createdVersion="5" indent="0" outline="1" outlineData="1" multipleFieldFilters="0">
  <location ref="B6:E9" firstHeaderRow="1" firstDataRow="2" firstDataCol="2" rowPageCount="2" colPageCount="1"/>
  <pivotFields count="12">
    <pivotField showAll="0"/>
    <pivotField axis="axisPage" multipleItemSelectionAllowed="1" showAll="0">
      <items count="14">
        <item h="1" x="0"/>
        <item h="1" x="1"/>
        <item h="1" x="12"/>
        <item h="1" x="2"/>
        <item h="1" x="3"/>
        <item h="1" x="4"/>
        <item h="1" x="5"/>
        <item h="1" x="6"/>
        <item h="1" x="7"/>
        <item h="1" x="8"/>
        <item h="1" x="9"/>
        <item x="10"/>
        <item h="1" x="11"/>
        <item t="default"/>
      </items>
    </pivotField>
    <pivotField axis="axisPage" multipleItemSelectionAllowed="1" showAll="0">
      <items count="56">
        <item m="1" x="53"/>
        <item x="1"/>
        <item x="2"/>
        <item x="3"/>
        <item x="4"/>
        <item x="5"/>
        <item x="6"/>
        <item x="52"/>
        <item x="7"/>
        <item x="8"/>
        <item x="9"/>
        <item x="10"/>
        <item x="11"/>
        <item x="12"/>
        <item x="13"/>
        <item x="14"/>
        <item x="15"/>
        <item x="16"/>
        <item x="17"/>
        <item x="19"/>
        <item x="20"/>
        <item x="21"/>
        <item x="51"/>
        <item x="22"/>
        <item x="23"/>
        <item x="25"/>
        <item m="1" x="54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0"/>
        <item x="18"/>
        <item x="43"/>
        <item x="44"/>
        <item x="45"/>
        <item x="46"/>
        <item x="24"/>
        <item x="47"/>
        <item x="48"/>
        <item x="49"/>
        <item x="50"/>
        <item t="default"/>
      </items>
    </pivotField>
    <pivotField axis="axisRow" outline="0" showAll="0" sortType="ascending" defaultSubtotal="0">
      <items count="46">
        <item m="1" x="36"/>
        <item x="15"/>
        <item m="1" x="38"/>
        <item m="1" x="28"/>
        <item x="22"/>
        <item x="18"/>
        <item x="7"/>
        <item x="1"/>
        <item x="10"/>
        <item x="6"/>
        <item x="12"/>
        <item x="11"/>
        <item m="1" x="29"/>
        <item m="1" x="30"/>
        <item x="0"/>
        <item x="5"/>
        <item x="24"/>
        <item x="2"/>
        <item m="1" x="32"/>
        <item m="1" x="34"/>
        <item m="1" x="37"/>
        <item x="16"/>
        <item x="23"/>
        <item x="9"/>
        <item m="1" x="41"/>
        <item m="1" x="42"/>
        <item m="1" x="43"/>
        <item m="1" x="44"/>
        <item m="1" x="45"/>
        <item m="1" x="31"/>
        <item m="1" x="33"/>
        <item m="1" x="26"/>
        <item m="1" x="35"/>
        <item m="1" x="27"/>
        <item m="1" x="39"/>
        <item x="20"/>
        <item x="3"/>
        <item x="21"/>
        <item m="1" x="40"/>
        <item x="4"/>
        <item x="17"/>
        <item x="19"/>
        <item x="8"/>
        <item x="13"/>
        <item x="14"/>
        <item x="25"/>
      </items>
    </pivotField>
    <pivotField axis="axisRow" showAll="0">
      <items count="132">
        <item m="1" x="116"/>
        <item m="1" x="79"/>
        <item x="24"/>
        <item m="1" x="107"/>
        <item m="1" x="63"/>
        <item m="1" x="38"/>
        <item m="1" x="126"/>
        <item m="1" x="85"/>
        <item m="1" x="48"/>
        <item m="1" x="105"/>
        <item m="1" x="49"/>
        <item x="2"/>
        <item m="1" x="77"/>
        <item m="1" x="111"/>
        <item m="1" x="114"/>
        <item m="1" x="95"/>
        <item x="30"/>
        <item x="31"/>
        <item x="18"/>
        <item m="1" x="60"/>
        <item m="1" x="84"/>
        <item m="1" x="64"/>
        <item m="1" x="108"/>
        <item m="1" x="62"/>
        <item m="1" x="61"/>
        <item m="1" x="125"/>
        <item m="1" x="121"/>
        <item m="1" x="118"/>
        <item m="1" x="71"/>
        <item m="1" x="101"/>
        <item m="1" x="94"/>
        <item m="1" x="66"/>
        <item m="1" x="120"/>
        <item m="1" x="73"/>
        <item m="1" x="57"/>
        <item m="1" x="59"/>
        <item m="1" x="129"/>
        <item m="1" x="65"/>
        <item x="29"/>
        <item m="1" x="93"/>
        <item m="1" x="102"/>
        <item m="1" x="40"/>
        <item m="1" x="74"/>
        <item m="1" x="119"/>
        <item m="1" x="45"/>
        <item m="1" x="32"/>
        <item m="1" x="76"/>
        <item m="1" x="99"/>
        <item m="1" x="56"/>
        <item m="1" x="69"/>
        <item m="1" x="34"/>
        <item m="1" x="100"/>
        <item m="1" x="83"/>
        <item x="17"/>
        <item x="20"/>
        <item m="1" x="58"/>
        <item m="1" x="122"/>
        <item m="1" x="47"/>
        <item m="1" x="87"/>
        <item m="1" x="46"/>
        <item m="1" x="50"/>
        <item m="1" x="88"/>
        <item m="1" x="81"/>
        <item m="1" x="53"/>
        <item m="1" x="123"/>
        <item m="1" x="39"/>
        <item m="1" x="86"/>
        <item m="1" x="70"/>
        <item m="1" x="78"/>
        <item m="1" x="36"/>
        <item m="1" x="72"/>
        <item m="1" x="130"/>
        <item x="23"/>
        <item m="1" x="115"/>
        <item m="1" x="124"/>
        <item m="1" x="51"/>
        <item m="1" x="113"/>
        <item m="1" x="44"/>
        <item m="1" x="91"/>
        <item m="1" x="41"/>
        <item x="9"/>
        <item m="1" x="104"/>
        <item m="1" x="68"/>
        <item m="1" x="80"/>
        <item m="1" x="37"/>
        <item m="1" x="103"/>
        <item m="1" x="55"/>
        <item m="1" x="54"/>
        <item m="1" x="43"/>
        <item m="1" x="75"/>
        <item x="27"/>
        <item x="4"/>
        <item m="1" x="110"/>
        <item m="1" x="42"/>
        <item x="11"/>
        <item m="1" x="106"/>
        <item m="1" x="33"/>
        <item m="1" x="97"/>
        <item m="1" x="112"/>
        <item x="0"/>
        <item x="6"/>
        <item m="1" x="96"/>
        <item m="1" x="90"/>
        <item m="1" x="89"/>
        <item m="1" x="127"/>
        <item x="7"/>
        <item x="3"/>
        <item m="1" x="35"/>
        <item m="1" x="128"/>
        <item x="19"/>
        <item m="1" x="52"/>
        <item m="1" x="98"/>
        <item m="1" x="92"/>
        <item x="22"/>
        <item x="1"/>
        <item m="1" x="109"/>
        <item m="1" x="67"/>
        <item m="1" x="117"/>
        <item m="1" x="82"/>
        <item x="8"/>
        <item x="10"/>
        <item x="13"/>
        <item x="14"/>
        <item x="15"/>
        <item x="16"/>
        <item x="5"/>
        <item x="21"/>
        <item x="12"/>
        <item x="25"/>
        <item x="26"/>
        <item x="28"/>
        <item t="default"/>
      </items>
    </pivotField>
    <pivotField showAll="0"/>
    <pivotField axis="axisCol" showAll="0">
      <items count="8">
        <item x="0"/>
        <item m="1" x="5"/>
        <item x="3"/>
        <item m="1" x="4"/>
        <item m="1" x="6"/>
        <item x="2"/>
        <item x="1"/>
        <item t="default"/>
      </items>
    </pivotField>
    <pivotField showAll="0"/>
    <pivotField showAll="0"/>
    <pivotField dataField="1" showAll="0"/>
    <pivotField showAll="0"/>
    <pivotField showAll="0"/>
  </pivotFields>
  <rowFields count="2">
    <field x="3"/>
    <field x="4"/>
  </rowFields>
  <rowItems count="2">
    <i>
      <x v="45"/>
      <x v="16"/>
    </i>
    <i t="grand">
      <x/>
    </i>
  </rowItems>
  <colFields count="1">
    <field x="6"/>
  </colFields>
  <colItems count="2">
    <i>
      <x/>
    </i>
    <i t="grand">
      <x/>
    </i>
  </colItems>
  <pageFields count="2">
    <pageField fld="1" hier="-1"/>
    <pageField fld="2" hier="-1"/>
  </pageFields>
  <dataFields count="1">
    <dataField name="加總 - 奉獻金額" fld="9" baseField="3" baseItem="0" numFmtId="40"/>
  </dataFields>
  <formats count="38">
    <format dxfId="75">
      <pivotArea type="all" dataOnly="0" outline="0" fieldPosition="0"/>
    </format>
    <format dxfId="74">
      <pivotArea outline="0" collapsedLevelsAreSubtotals="1" fieldPosition="0"/>
    </format>
    <format dxfId="73">
      <pivotArea dataOnly="0" labelOnly="1" fieldPosition="0">
        <references count="1">
          <reference field="3" count="16">
            <x v="0"/>
            <x v="1"/>
            <x v="2"/>
            <x v="3"/>
            <x v="4"/>
            <x v="6"/>
            <x v="7"/>
            <x v="8"/>
            <x v="9"/>
            <x v="10"/>
            <x v="11"/>
            <x v="12"/>
            <x v="13"/>
            <x v="15"/>
            <x v="16"/>
            <x v="17"/>
          </reference>
        </references>
      </pivotArea>
    </format>
    <format dxfId="72">
      <pivotArea dataOnly="0" labelOnly="1" grandRow="1" outline="0" fieldPosition="0"/>
    </format>
    <format dxfId="71">
      <pivotArea dataOnly="0" labelOnly="1" fieldPosition="0">
        <references count="2">
          <reference field="3" count="1" selected="0">
            <x v="0"/>
          </reference>
          <reference field="4" count="1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</reference>
        </references>
      </pivotArea>
    </format>
    <format dxfId="70">
      <pivotArea dataOnly="0" labelOnly="1" fieldPosition="0">
        <references count="1">
          <reference field="6" count="0"/>
        </references>
      </pivotArea>
    </format>
    <format dxfId="69">
      <pivotArea dataOnly="0" labelOnly="1" grandCol="1" outline="0" fieldPosition="0"/>
    </format>
    <format dxfId="68">
      <pivotArea dataOnly="0" labelOnly="1" fieldPosition="0">
        <references count="1">
          <reference field="3" count="16">
            <x v="0"/>
            <x v="1"/>
            <x v="2"/>
            <x v="3"/>
            <x v="4"/>
            <x v="6"/>
            <x v="7"/>
            <x v="8"/>
            <x v="9"/>
            <x v="10"/>
            <x v="11"/>
            <x v="12"/>
            <x v="13"/>
            <x v="15"/>
            <x v="16"/>
            <x v="17"/>
          </reference>
        </references>
      </pivotArea>
    </format>
    <format dxfId="67">
      <pivotArea dataOnly="0" labelOnly="1" grandRow="1" outline="0" fieldPosition="0"/>
    </format>
    <format dxfId="66">
      <pivotArea dataOnly="0" labelOnly="1" fieldPosition="0">
        <references count="2">
          <reference field="3" count="1" selected="0">
            <x v="0"/>
          </reference>
          <reference field="4" count="1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</reference>
        </references>
      </pivotArea>
    </format>
    <format dxfId="65">
      <pivotArea dataOnly="0" labelOnly="1" outline="0" fieldPosition="0">
        <references count="1">
          <reference field="1" count="0"/>
        </references>
      </pivotArea>
    </format>
    <format dxfId="64">
      <pivotArea dataOnly="0" outline="0" fieldPosition="0">
        <references count="1">
          <reference field="1" count="0"/>
        </references>
      </pivotArea>
    </format>
    <format dxfId="63">
      <pivotArea collapsedLevelsAreSubtotals="1" fieldPosition="0">
        <references count="3">
          <reference field="3" count="1" selected="0">
            <x v="0"/>
          </reference>
          <reference field="4" count="1">
            <x v="13"/>
          </reference>
          <reference field="6" count="0" selected="0"/>
        </references>
      </pivotArea>
    </format>
    <format dxfId="62">
      <pivotArea collapsedLevelsAreSubtotals="1" fieldPosition="0">
        <references count="3">
          <reference field="3" count="1" selected="0">
            <x v="1"/>
          </reference>
          <reference field="4" count="1">
            <x v="14"/>
          </reference>
          <reference field="6" count="0" selected="0"/>
        </references>
      </pivotArea>
    </format>
    <format dxfId="61">
      <pivotArea collapsedLevelsAreSubtotals="1" fieldPosition="0">
        <references count="3">
          <reference field="3" count="1" selected="0">
            <x v="2"/>
          </reference>
          <reference field="4" count="1">
            <x v="12"/>
          </reference>
          <reference field="6" count="0" selected="0"/>
        </references>
      </pivotArea>
    </format>
    <format dxfId="60">
      <pivotArea collapsedLevelsAreSubtotals="1" fieldPosition="0">
        <references count="3">
          <reference field="3" count="1" selected="0">
            <x v="3"/>
          </reference>
          <reference field="4" count="1">
            <x v="6"/>
          </reference>
          <reference field="6" count="0" selected="0"/>
        </references>
      </pivotArea>
    </format>
    <format dxfId="59">
      <pivotArea collapsedLevelsAreSubtotals="1" fieldPosition="0">
        <references count="3">
          <reference field="3" count="1" selected="0">
            <x v="4"/>
          </reference>
          <reference field="4" count="1">
            <x v="2"/>
          </reference>
          <reference field="6" count="0" selected="0"/>
        </references>
      </pivotArea>
    </format>
    <format dxfId="58">
      <pivotArea collapsedLevelsAreSubtotals="1" fieldPosition="0">
        <references count="3">
          <reference field="3" count="1" selected="0">
            <x v="6"/>
          </reference>
          <reference field="4" count="1">
            <x v="5"/>
          </reference>
          <reference field="6" count="0" selected="0"/>
        </references>
      </pivotArea>
    </format>
    <format dxfId="57">
      <pivotArea collapsedLevelsAreSubtotals="1" fieldPosition="0">
        <references count="3">
          <reference field="3" count="1" selected="0">
            <x v="7"/>
          </reference>
          <reference field="4" count="1">
            <x v="3"/>
          </reference>
          <reference field="6" count="0" selected="0"/>
        </references>
      </pivotArea>
    </format>
    <format dxfId="56">
      <pivotArea collapsedLevelsAreSubtotals="1" fieldPosition="0">
        <references count="3">
          <reference field="3" count="1" selected="0">
            <x v="8"/>
          </reference>
          <reference field="4" count="1">
            <x v="9"/>
          </reference>
          <reference field="6" count="0" selected="0"/>
        </references>
      </pivotArea>
    </format>
    <format dxfId="55">
      <pivotArea collapsedLevelsAreSubtotals="1" fieldPosition="0">
        <references count="3">
          <reference field="3" count="1" selected="0">
            <x v="9"/>
          </reference>
          <reference field="4" count="1">
            <x v="10"/>
          </reference>
          <reference field="6" count="0" selected="0"/>
        </references>
      </pivotArea>
    </format>
    <format dxfId="54">
      <pivotArea collapsedLevelsAreSubtotals="1" fieldPosition="0">
        <references count="3">
          <reference field="3" count="1" selected="0">
            <x v="10"/>
          </reference>
          <reference field="4" count="1">
            <x v="8"/>
          </reference>
          <reference field="6" count="0" selected="0"/>
        </references>
      </pivotArea>
    </format>
    <format dxfId="53">
      <pivotArea collapsedLevelsAreSubtotals="1" fieldPosition="0">
        <references count="3">
          <reference field="3" count="1" selected="0">
            <x v="11"/>
          </reference>
          <reference field="4" count="1">
            <x v="0"/>
          </reference>
          <reference field="6" count="0" selected="0"/>
        </references>
      </pivotArea>
    </format>
    <format dxfId="52">
      <pivotArea collapsedLevelsAreSubtotals="1" fieldPosition="0">
        <references count="3">
          <reference field="3" count="1" selected="0">
            <x v="12"/>
          </reference>
          <reference field="4" count="1">
            <x v="4"/>
          </reference>
          <reference field="6" count="0" selected="0"/>
        </references>
      </pivotArea>
    </format>
    <format dxfId="51">
      <pivotArea collapsedLevelsAreSubtotals="1" fieldPosition="0">
        <references count="3">
          <reference field="3" count="1" selected="0">
            <x v="13"/>
          </reference>
          <reference field="4" count="1">
            <x v="15"/>
          </reference>
          <reference field="6" count="0" selected="0"/>
        </references>
      </pivotArea>
    </format>
    <format dxfId="50">
      <pivotArea collapsedLevelsAreSubtotals="1" fieldPosition="0">
        <references count="3">
          <reference field="3" count="1" selected="0">
            <x v="17"/>
          </reference>
          <reference field="4" count="1">
            <x v="11"/>
          </reference>
          <reference field="6" count="0" selected="0"/>
        </references>
      </pivotArea>
    </format>
    <format dxfId="49">
      <pivotArea field="6" grandRow="1" outline="0" collapsedLevelsAreSubtotals="1" axis="axisCol" fieldPosition="0">
        <references count="1">
          <reference field="6" count="0" selected="0"/>
        </references>
      </pivotArea>
    </format>
    <format dxfId="48">
      <pivotArea dataOnly="0" labelOnly="1" outline="0" fieldPosition="0">
        <references count="1">
          <reference field="2" count="0"/>
        </references>
      </pivotArea>
    </format>
    <format dxfId="47">
      <pivotArea dataOnly="0" labelOnly="1" fieldPosition="0">
        <references count="1">
          <reference field="3" count="21">
            <x v="0"/>
            <x v="1"/>
            <x v="2"/>
            <x v="6"/>
            <x v="7"/>
            <x v="9"/>
            <x v="10"/>
            <x v="11"/>
            <x v="15"/>
            <x v="17"/>
            <x v="19"/>
            <x v="21"/>
            <x v="22"/>
            <x v="23"/>
            <x v="24"/>
            <x v="25"/>
            <x v="26"/>
            <x v="27"/>
            <x v="28"/>
            <x v="29"/>
            <x v="30"/>
          </reference>
        </references>
      </pivotArea>
    </format>
    <format dxfId="46">
      <pivotArea dataOnly="0" labelOnly="1" fieldPosition="0">
        <references count="1">
          <reference field="3" count="17">
            <x v="0"/>
            <x v="1"/>
            <x v="6"/>
            <x v="7"/>
            <x v="8"/>
            <x v="9"/>
            <x v="11"/>
            <x v="17"/>
            <x v="22"/>
            <x v="23"/>
            <x v="24"/>
            <x v="31"/>
            <x v="32"/>
            <x v="33"/>
            <x v="34"/>
            <x v="42"/>
            <x v="45"/>
          </reference>
        </references>
      </pivotArea>
    </format>
    <format dxfId="45">
      <pivotArea dataOnly="0" labelOnly="1" fieldPosition="0">
        <references count="1">
          <reference field="3" count="1">
            <x v="35"/>
          </reference>
        </references>
      </pivotArea>
    </format>
    <format dxfId="44">
      <pivotArea dataOnly="0" labelOnly="1" fieldPosition="0">
        <references count="1">
          <reference field="3" count="3">
            <x v="18"/>
            <x v="19"/>
            <x v="20"/>
          </reference>
        </references>
      </pivotArea>
    </format>
    <format dxfId="43">
      <pivotArea dataOnly="0" labelOnly="1" fieldPosition="0">
        <references count="1">
          <reference field="3" count="1">
            <x v="14"/>
          </reference>
        </references>
      </pivotArea>
    </format>
    <format dxfId="42">
      <pivotArea dataOnly="0" labelOnly="1" fieldPosition="0">
        <references count="1">
          <reference field="3" count="1">
            <x v="36"/>
          </reference>
        </references>
      </pivotArea>
    </format>
    <format dxfId="41">
      <pivotArea dataOnly="0" labelOnly="1" fieldPosition="0">
        <references count="1">
          <reference field="3" count="1">
            <x v="5"/>
          </reference>
        </references>
      </pivotArea>
    </format>
    <format dxfId="40">
      <pivotArea dataOnly="0" labelOnly="1" fieldPosition="0">
        <references count="1">
          <reference field="3" count="1">
            <x v="37"/>
          </reference>
        </references>
      </pivotArea>
    </format>
    <format dxfId="39">
      <pivotArea dataOnly="0" labelOnly="1" fieldPosition="0">
        <references count="1">
          <reference field="3" count="1">
            <x v="38"/>
          </reference>
        </references>
      </pivotArea>
    </format>
    <format dxfId="38">
      <pivotArea dataOnly="0" labelOnly="1" fieldPosition="0">
        <references count="1">
          <reference field="3" count="1">
            <x v="3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name="樞紐分析表4" cacheId="0" applyNumberFormats="0" applyBorderFormats="0" applyFontFormats="0" applyPatternFormats="0" applyAlignmentFormats="0" applyWidthHeightFormats="1" dataCaption="數值" updatedVersion="5" minRefreshableVersion="3" useAutoFormatting="1" itemPrintTitles="1" createdVersion="5" indent="0" outline="1" outlineData="1" multipleFieldFilters="0">
  <location ref="B6:E9" firstHeaderRow="1" firstDataRow="2" firstDataCol="2" rowPageCount="2" colPageCount="1"/>
  <pivotFields count="12">
    <pivotField showAll="0"/>
    <pivotField axis="axisPage" multipleItemSelectionAllowed="1" showAll="0">
      <items count="14">
        <item h="1" x="0"/>
        <item h="1" x="1"/>
        <item h="1" x="12"/>
        <item h="1" x="2"/>
        <item h="1" x="3"/>
        <item h="1" x="4"/>
        <item h="1" x="5"/>
        <item h="1" x="6"/>
        <item h="1" x="7"/>
        <item h="1" x="8"/>
        <item h="1" x="9"/>
        <item h="1" x="10"/>
        <item x="11"/>
        <item t="default"/>
      </items>
    </pivotField>
    <pivotField axis="axisPage" multipleItemSelectionAllowed="1" showAll="0">
      <items count="56">
        <item m="1" x="53"/>
        <item x="1"/>
        <item x="2"/>
        <item x="3"/>
        <item x="4"/>
        <item x="5"/>
        <item x="6"/>
        <item x="52"/>
        <item x="7"/>
        <item x="8"/>
        <item x="9"/>
        <item x="10"/>
        <item x="11"/>
        <item x="12"/>
        <item x="13"/>
        <item x="14"/>
        <item x="15"/>
        <item x="16"/>
        <item x="17"/>
        <item x="19"/>
        <item x="20"/>
        <item x="21"/>
        <item x="51"/>
        <item x="22"/>
        <item x="23"/>
        <item x="25"/>
        <item m="1" x="54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0"/>
        <item x="18"/>
        <item x="43"/>
        <item x="44"/>
        <item x="45"/>
        <item x="46"/>
        <item x="24"/>
        <item x="47"/>
        <item x="48"/>
        <item x="49"/>
        <item x="50"/>
        <item t="default"/>
      </items>
    </pivotField>
    <pivotField axis="axisRow" outline="0" showAll="0" sortType="ascending" defaultSubtotal="0">
      <items count="46">
        <item m="1" x="36"/>
        <item x="15"/>
        <item m="1" x="38"/>
        <item m="1" x="28"/>
        <item x="22"/>
        <item x="18"/>
        <item x="7"/>
        <item x="1"/>
        <item x="10"/>
        <item x="6"/>
        <item x="12"/>
        <item x="11"/>
        <item m="1" x="29"/>
        <item m="1" x="30"/>
        <item x="0"/>
        <item x="5"/>
        <item x="24"/>
        <item x="2"/>
        <item m="1" x="32"/>
        <item m="1" x="34"/>
        <item m="1" x="37"/>
        <item x="16"/>
        <item x="23"/>
        <item x="9"/>
        <item m="1" x="41"/>
        <item m="1" x="42"/>
        <item m="1" x="43"/>
        <item m="1" x="44"/>
        <item m="1" x="45"/>
        <item m="1" x="31"/>
        <item m="1" x="33"/>
        <item m="1" x="26"/>
        <item m="1" x="35"/>
        <item m="1" x="27"/>
        <item m="1" x="39"/>
        <item x="20"/>
        <item x="3"/>
        <item x="21"/>
        <item m="1" x="40"/>
        <item x="4"/>
        <item x="17"/>
        <item x="19"/>
        <item x="8"/>
        <item x="13"/>
        <item x="14"/>
        <item x="25"/>
      </items>
    </pivotField>
    <pivotField axis="axisRow" showAll="0">
      <items count="132">
        <item m="1" x="116"/>
        <item m="1" x="79"/>
        <item x="24"/>
        <item m="1" x="107"/>
        <item m="1" x="63"/>
        <item m="1" x="38"/>
        <item m="1" x="126"/>
        <item m="1" x="85"/>
        <item m="1" x="48"/>
        <item m="1" x="105"/>
        <item m="1" x="49"/>
        <item x="2"/>
        <item m="1" x="77"/>
        <item m="1" x="111"/>
        <item m="1" x="114"/>
        <item m="1" x="95"/>
        <item x="30"/>
        <item x="31"/>
        <item x="18"/>
        <item m="1" x="60"/>
        <item m="1" x="84"/>
        <item m="1" x="64"/>
        <item m="1" x="108"/>
        <item m="1" x="62"/>
        <item m="1" x="61"/>
        <item m="1" x="125"/>
        <item m="1" x="121"/>
        <item m="1" x="118"/>
        <item m="1" x="71"/>
        <item m="1" x="101"/>
        <item m="1" x="94"/>
        <item m="1" x="66"/>
        <item m="1" x="120"/>
        <item m="1" x="73"/>
        <item m="1" x="57"/>
        <item m="1" x="59"/>
        <item m="1" x="129"/>
        <item m="1" x="65"/>
        <item x="29"/>
        <item m="1" x="93"/>
        <item m="1" x="102"/>
        <item m="1" x="40"/>
        <item m="1" x="74"/>
        <item m="1" x="119"/>
        <item m="1" x="45"/>
        <item m="1" x="32"/>
        <item m="1" x="76"/>
        <item m="1" x="99"/>
        <item m="1" x="56"/>
        <item m="1" x="69"/>
        <item m="1" x="34"/>
        <item m="1" x="100"/>
        <item m="1" x="83"/>
        <item x="17"/>
        <item x="20"/>
        <item m="1" x="58"/>
        <item m="1" x="122"/>
        <item m="1" x="47"/>
        <item m="1" x="87"/>
        <item m="1" x="46"/>
        <item m="1" x="50"/>
        <item m="1" x="88"/>
        <item m="1" x="81"/>
        <item m="1" x="53"/>
        <item m="1" x="123"/>
        <item m="1" x="39"/>
        <item m="1" x="86"/>
        <item m="1" x="70"/>
        <item m="1" x="78"/>
        <item m="1" x="36"/>
        <item m="1" x="72"/>
        <item m="1" x="130"/>
        <item x="23"/>
        <item m="1" x="115"/>
        <item m="1" x="124"/>
        <item m="1" x="51"/>
        <item m="1" x="113"/>
        <item m="1" x="44"/>
        <item m="1" x="91"/>
        <item m="1" x="41"/>
        <item x="9"/>
        <item m="1" x="104"/>
        <item m="1" x="68"/>
        <item m="1" x="80"/>
        <item m="1" x="37"/>
        <item m="1" x="103"/>
        <item m="1" x="55"/>
        <item m="1" x="54"/>
        <item m="1" x="43"/>
        <item m="1" x="75"/>
        <item x="27"/>
        <item x="4"/>
        <item m="1" x="110"/>
        <item m="1" x="42"/>
        <item x="11"/>
        <item m="1" x="106"/>
        <item m="1" x="33"/>
        <item m="1" x="97"/>
        <item m="1" x="112"/>
        <item x="0"/>
        <item x="6"/>
        <item m="1" x="96"/>
        <item m="1" x="90"/>
        <item m="1" x="89"/>
        <item m="1" x="127"/>
        <item x="7"/>
        <item x="3"/>
        <item m="1" x="35"/>
        <item m="1" x="128"/>
        <item x="19"/>
        <item m="1" x="52"/>
        <item m="1" x="98"/>
        <item m="1" x="92"/>
        <item x="22"/>
        <item x="1"/>
        <item m="1" x="109"/>
        <item m="1" x="67"/>
        <item m="1" x="117"/>
        <item m="1" x="82"/>
        <item x="8"/>
        <item x="10"/>
        <item x="13"/>
        <item x="14"/>
        <item x="15"/>
        <item x="16"/>
        <item x="5"/>
        <item x="21"/>
        <item x="12"/>
        <item x="25"/>
        <item x="26"/>
        <item x="28"/>
        <item t="default"/>
      </items>
    </pivotField>
    <pivotField showAll="0"/>
    <pivotField axis="axisCol" showAll="0">
      <items count="8">
        <item x="0"/>
        <item m="1" x="5"/>
        <item x="3"/>
        <item m="1" x="4"/>
        <item m="1" x="6"/>
        <item x="2"/>
        <item x="1"/>
        <item t="default"/>
      </items>
    </pivotField>
    <pivotField showAll="0"/>
    <pivotField showAll="0"/>
    <pivotField dataField="1" showAll="0"/>
    <pivotField showAll="0"/>
    <pivotField showAll="0"/>
  </pivotFields>
  <rowFields count="2">
    <field x="3"/>
    <field x="4"/>
  </rowFields>
  <rowItems count="2">
    <i>
      <x v="45"/>
      <x v="16"/>
    </i>
    <i t="grand">
      <x/>
    </i>
  </rowItems>
  <colFields count="1">
    <field x="6"/>
  </colFields>
  <colItems count="2">
    <i>
      <x/>
    </i>
    <i t="grand">
      <x/>
    </i>
  </colItems>
  <pageFields count="2">
    <pageField fld="1" hier="-1"/>
    <pageField fld="2" hier="-1"/>
  </pageFields>
  <dataFields count="1">
    <dataField name="加總 - 奉獻金額" fld="9" baseField="3" baseItem="0" numFmtId="40"/>
  </dataFields>
  <formats count="38">
    <format dxfId="37">
      <pivotArea type="all" dataOnly="0" outline="0" fieldPosition="0"/>
    </format>
    <format dxfId="36">
      <pivotArea outline="0" collapsedLevelsAreSubtotals="1" fieldPosition="0"/>
    </format>
    <format dxfId="35">
      <pivotArea dataOnly="0" labelOnly="1" fieldPosition="0">
        <references count="1">
          <reference field="3" count="16">
            <x v="0"/>
            <x v="1"/>
            <x v="2"/>
            <x v="3"/>
            <x v="4"/>
            <x v="6"/>
            <x v="7"/>
            <x v="8"/>
            <x v="9"/>
            <x v="10"/>
            <x v="11"/>
            <x v="12"/>
            <x v="13"/>
            <x v="15"/>
            <x v="16"/>
            <x v="17"/>
          </reference>
        </references>
      </pivotArea>
    </format>
    <format dxfId="34">
      <pivotArea dataOnly="0" labelOnly="1" grandRow="1" outline="0" fieldPosition="0"/>
    </format>
    <format dxfId="33">
      <pivotArea dataOnly="0" labelOnly="1" fieldPosition="0">
        <references count="2">
          <reference field="3" count="1" selected="0">
            <x v="0"/>
          </reference>
          <reference field="4" count="1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</reference>
        </references>
      </pivotArea>
    </format>
    <format dxfId="32">
      <pivotArea dataOnly="0" labelOnly="1" fieldPosition="0">
        <references count="1">
          <reference field="6" count="0"/>
        </references>
      </pivotArea>
    </format>
    <format dxfId="31">
      <pivotArea dataOnly="0" labelOnly="1" grandCol="1" outline="0" fieldPosition="0"/>
    </format>
    <format dxfId="30">
      <pivotArea dataOnly="0" labelOnly="1" fieldPosition="0">
        <references count="1">
          <reference field="3" count="16">
            <x v="0"/>
            <x v="1"/>
            <x v="2"/>
            <x v="3"/>
            <x v="4"/>
            <x v="6"/>
            <x v="7"/>
            <x v="8"/>
            <x v="9"/>
            <x v="10"/>
            <x v="11"/>
            <x v="12"/>
            <x v="13"/>
            <x v="15"/>
            <x v="16"/>
            <x v="17"/>
          </reference>
        </references>
      </pivotArea>
    </format>
    <format dxfId="29">
      <pivotArea dataOnly="0" labelOnly="1" grandRow="1" outline="0" fieldPosition="0"/>
    </format>
    <format dxfId="28">
      <pivotArea dataOnly="0" labelOnly="1" fieldPosition="0">
        <references count="2">
          <reference field="3" count="1" selected="0">
            <x v="0"/>
          </reference>
          <reference field="4" count="1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</reference>
        </references>
      </pivotArea>
    </format>
    <format dxfId="27">
      <pivotArea dataOnly="0" labelOnly="1" outline="0" fieldPosition="0">
        <references count="1">
          <reference field="1" count="0"/>
        </references>
      </pivotArea>
    </format>
    <format dxfId="26">
      <pivotArea dataOnly="0" outline="0" fieldPosition="0">
        <references count="1">
          <reference field="1" count="0"/>
        </references>
      </pivotArea>
    </format>
    <format dxfId="25">
      <pivotArea collapsedLevelsAreSubtotals="1" fieldPosition="0">
        <references count="3">
          <reference field="3" count="1" selected="0">
            <x v="0"/>
          </reference>
          <reference field="4" count="1">
            <x v="13"/>
          </reference>
          <reference field="6" count="0" selected="0"/>
        </references>
      </pivotArea>
    </format>
    <format dxfId="24">
      <pivotArea collapsedLevelsAreSubtotals="1" fieldPosition="0">
        <references count="3">
          <reference field="3" count="1" selected="0">
            <x v="1"/>
          </reference>
          <reference field="4" count="1">
            <x v="14"/>
          </reference>
          <reference field="6" count="0" selected="0"/>
        </references>
      </pivotArea>
    </format>
    <format dxfId="23">
      <pivotArea collapsedLevelsAreSubtotals="1" fieldPosition="0">
        <references count="3">
          <reference field="3" count="1" selected="0">
            <x v="2"/>
          </reference>
          <reference field="4" count="1">
            <x v="12"/>
          </reference>
          <reference field="6" count="0" selected="0"/>
        </references>
      </pivotArea>
    </format>
    <format dxfId="22">
      <pivotArea collapsedLevelsAreSubtotals="1" fieldPosition="0">
        <references count="3">
          <reference field="3" count="1" selected="0">
            <x v="3"/>
          </reference>
          <reference field="4" count="1">
            <x v="6"/>
          </reference>
          <reference field="6" count="0" selected="0"/>
        </references>
      </pivotArea>
    </format>
    <format dxfId="21">
      <pivotArea collapsedLevelsAreSubtotals="1" fieldPosition="0">
        <references count="3">
          <reference field="3" count="1" selected="0">
            <x v="4"/>
          </reference>
          <reference field="4" count="1">
            <x v="2"/>
          </reference>
          <reference field="6" count="0" selected="0"/>
        </references>
      </pivotArea>
    </format>
    <format dxfId="20">
      <pivotArea collapsedLevelsAreSubtotals="1" fieldPosition="0">
        <references count="3">
          <reference field="3" count="1" selected="0">
            <x v="6"/>
          </reference>
          <reference field="4" count="1">
            <x v="5"/>
          </reference>
          <reference field="6" count="0" selected="0"/>
        </references>
      </pivotArea>
    </format>
    <format dxfId="19">
      <pivotArea collapsedLevelsAreSubtotals="1" fieldPosition="0">
        <references count="3">
          <reference field="3" count="1" selected="0">
            <x v="7"/>
          </reference>
          <reference field="4" count="1">
            <x v="3"/>
          </reference>
          <reference field="6" count="0" selected="0"/>
        </references>
      </pivotArea>
    </format>
    <format dxfId="18">
      <pivotArea collapsedLevelsAreSubtotals="1" fieldPosition="0">
        <references count="3">
          <reference field="3" count="1" selected="0">
            <x v="8"/>
          </reference>
          <reference field="4" count="1">
            <x v="9"/>
          </reference>
          <reference field="6" count="0" selected="0"/>
        </references>
      </pivotArea>
    </format>
    <format dxfId="17">
      <pivotArea collapsedLevelsAreSubtotals="1" fieldPosition="0">
        <references count="3">
          <reference field="3" count="1" selected="0">
            <x v="9"/>
          </reference>
          <reference field="4" count="1">
            <x v="10"/>
          </reference>
          <reference field="6" count="0" selected="0"/>
        </references>
      </pivotArea>
    </format>
    <format dxfId="16">
      <pivotArea collapsedLevelsAreSubtotals="1" fieldPosition="0">
        <references count="3">
          <reference field="3" count="1" selected="0">
            <x v="10"/>
          </reference>
          <reference field="4" count="1">
            <x v="8"/>
          </reference>
          <reference field="6" count="0" selected="0"/>
        </references>
      </pivotArea>
    </format>
    <format dxfId="15">
      <pivotArea collapsedLevelsAreSubtotals="1" fieldPosition="0">
        <references count="3">
          <reference field="3" count="1" selected="0">
            <x v="11"/>
          </reference>
          <reference field="4" count="1">
            <x v="0"/>
          </reference>
          <reference field="6" count="0" selected="0"/>
        </references>
      </pivotArea>
    </format>
    <format dxfId="14">
      <pivotArea collapsedLevelsAreSubtotals="1" fieldPosition="0">
        <references count="3">
          <reference field="3" count="1" selected="0">
            <x v="12"/>
          </reference>
          <reference field="4" count="1">
            <x v="4"/>
          </reference>
          <reference field="6" count="0" selected="0"/>
        </references>
      </pivotArea>
    </format>
    <format dxfId="13">
      <pivotArea collapsedLevelsAreSubtotals="1" fieldPosition="0">
        <references count="3">
          <reference field="3" count="1" selected="0">
            <x v="13"/>
          </reference>
          <reference field="4" count="1">
            <x v="15"/>
          </reference>
          <reference field="6" count="0" selected="0"/>
        </references>
      </pivotArea>
    </format>
    <format dxfId="12">
      <pivotArea collapsedLevelsAreSubtotals="1" fieldPosition="0">
        <references count="3">
          <reference field="3" count="1" selected="0">
            <x v="17"/>
          </reference>
          <reference field="4" count="1">
            <x v="11"/>
          </reference>
          <reference field="6" count="0" selected="0"/>
        </references>
      </pivotArea>
    </format>
    <format dxfId="11">
      <pivotArea field="6" grandRow="1" outline="0" collapsedLevelsAreSubtotals="1" axis="axisCol" fieldPosition="0">
        <references count="1">
          <reference field="6" count="0" selected="0"/>
        </references>
      </pivotArea>
    </format>
    <format dxfId="10">
      <pivotArea dataOnly="0" labelOnly="1" outline="0" fieldPosition="0">
        <references count="1">
          <reference field="2" count="0"/>
        </references>
      </pivotArea>
    </format>
    <format dxfId="9">
      <pivotArea dataOnly="0" labelOnly="1" fieldPosition="0">
        <references count="1">
          <reference field="3" count="21">
            <x v="0"/>
            <x v="1"/>
            <x v="2"/>
            <x v="6"/>
            <x v="7"/>
            <x v="9"/>
            <x v="10"/>
            <x v="11"/>
            <x v="15"/>
            <x v="17"/>
            <x v="19"/>
            <x v="21"/>
            <x v="22"/>
            <x v="23"/>
            <x v="24"/>
            <x v="25"/>
            <x v="26"/>
            <x v="27"/>
            <x v="28"/>
            <x v="29"/>
            <x v="30"/>
          </reference>
        </references>
      </pivotArea>
    </format>
    <format dxfId="8">
      <pivotArea dataOnly="0" labelOnly="1" fieldPosition="0">
        <references count="1">
          <reference field="3" count="17">
            <x v="0"/>
            <x v="1"/>
            <x v="6"/>
            <x v="7"/>
            <x v="8"/>
            <x v="9"/>
            <x v="11"/>
            <x v="17"/>
            <x v="22"/>
            <x v="23"/>
            <x v="24"/>
            <x v="31"/>
            <x v="32"/>
            <x v="33"/>
            <x v="34"/>
            <x v="42"/>
            <x v="45"/>
          </reference>
        </references>
      </pivotArea>
    </format>
    <format dxfId="7">
      <pivotArea dataOnly="0" labelOnly="1" fieldPosition="0">
        <references count="1">
          <reference field="3" count="1">
            <x v="35"/>
          </reference>
        </references>
      </pivotArea>
    </format>
    <format dxfId="6">
      <pivotArea dataOnly="0" labelOnly="1" fieldPosition="0">
        <references count="1">
          <reference field="3" count="3">
            <x v="18"/>
            <x v="19"/>
            <x v="20"/>
          </reference>
        </references>
      </pivotArea>
    </format>
    <format dxfId="5">
      <pivotArea dataOnly="0" labelOnly="1" fieldPosition="0">
        <references count="1">
          <reference field="3" count="1">
            <x v="14"/>
          </reference>
        </references>
      </pivotArea>
    </format>
    <format dxfId="4">
      <pivotArea dataOnly="0" labelOnly="1" fieldPosition="0">
        <references count="1">
          <reference field="3" count="1">
            <x v="36"/>
          </reference>
        </references>
      </pivotArea>
    </format>
    <format dxfId="3">
      <pivotArea dataOnly="0" labelOnly="1" fieldPosition="0">
        <references count="1">
          <reference field="3" count="1">
            <x v="5"/>
          </reference>
        </references>
      </pivotArea>
    </format>
    <format dxfId="2">
      <pivotArea dataOnly="0" labelOnly="1" fieldPosition="0">
        <references count="1">
          <reference field="3" count="1">
            <x v="37"/>
          </reference>
        </references>
      </pivotArea>
    </format>
    <format dxfId="1">
      <pivotArea dataOnly="0" labelOnly="1" fieldPosition="0">
        <references count="1">
          <reference field="3" count="1">
            <x v="38"/>
          </reference>
        </references>
      </pivotArea>
    </format>
    <format dxfId="0">
      <pivotArea dataOnly="0" labelOnly="1" fieldPosition="0">
        <references count="1">
          <reference field="3" count="1">
            <x v="3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70"/>
  <sheetViews>
    <sheetView tabSelected="1" zoomScaleNormal="100" workbookViewId="0">
      <pane xSplit="1" ySplit="3" topLeftCell="B182" activePane="bottomRight" state="frozen"/>
      <selection pane="topRight" activeCell="B1" sqref="B1"/>
      <selection pane="bottomLeft" activeCell="A4" sqref="A4"/>
      <selection pane="bottomRight" activeCell="C198" sqref="C198"/>
    </sheetView>
  </sheetViews>
  <sheetFormatPr defaultRowHeight="16.2" x14ac:dyDescent="0.3"/>
  <cols>
    <col min="1" max="1" width="11.33203125" customWidth="1"/>
    <col min="2" max="2" width="6.5546875" customWidth="1"/>
    <col min="3" max="3" width="9.6640625" customWidth="1"/>
    <col min="5" max="5" width="33" bestFit="1" customWidth="1"/>
    <col min="6" max="6" width="5" customWidth="1"/>
    <col min="7" max="7" width="12.21875" customWidth="1"/>
    <col min="8" max="8" width="15.33203125" bestFit="1" customWidth="1"/>
    <col min="9" max="9" width="10.88671875" customWidth="1"/>
    <col min="10" max="10" width="13.21875" bestFit="1" customWidth="1"/>
    <col min="11" max="11" width="10" bestFit="1" customWidth="1"/>
    <col min="12" max="12" width="12.109375" bestFit="1" customWidth="1"/>
    <col min="13" max="13" width="11" bestFit="1" customWidth="1"/>
    <col min="14" max="14" width="13.6640625" customWidth="1"/>
    <col min="15" max="15" width="10.21875" bestFit="1" customWidth="1"/>
  </cols>
  <sheetData>
    <row r="1" spans="1:15" x14ac:dyDescent="0.3">
      <c r="A1" s="25">
        <v>2026</v>
      </c>
      <c r="B1" s="26"/>
      <c r="C1" s="26"/>
      <c r="D1" s="25" t="s">
        <v>0</v>
      </c>
    </row>
    <row r="3" spans="1:15" x14ac:dyDescent="0.3">
      <c r="A3" s="19" t="s">
        <v>1</v>
      </c>
      <c r="B3" s="19" t="s">
        <v>2</v>
      </c>
      <c r="C3" s="19" t="s">
        <v>3</v>
      </c>
      <c r="D3" s="20" t="s">
        <v>4</v>
      </c>
      <c r="E3" s="20" t="s">
        <v>5</v>
      </c>
      <c r="F3" s="20" t="s">
        <v>6</v>
      </c>
      <c r="G3" s="20" t="s">
        <v>7</v>
      </c>
      <c r="H3" s="20" t="s">
        <v>8</v>
      </c>
      <c r="I3" s="20" t="s">
        <v>9</v>
      </c>
      <c r="J3" s="20" t="s">
        <v>10</v>
      </c>
      <c r="K3" s="20" t="s">
        <v>11</v>
      </c>
      <c r="L3" s="21" t="s">
        <v>12</v>
      </c>
      <c r="M3" s="35" t="s">
        <v>13</v>
      </c>
      <c r="N3" s="18"/>
      <c r="O3" s="44" t="s">
        <v>14</v>
      </c>
    </row>
    <row r="4" spans="1:15" x14ac:dyDescent="0.3">
      <c r="A4" s="27">
        <v>46026</v>
      </c>
      <c r="B4" s="146">
        <f>MONTH(A4)</f>
        <v>1</v>
      </c>
      <c r="C4" s="147">
        <f>WEEKNUM(A4)</f>
        <v>2</v>
      </c>
      <c r="D4" s="28">
        <v>17</v>
      </c>
      <c r="E4" s="28" t="str">
        <f>VLOOKUP(D4,姓名檔!$A$2:$G$159,4,0)</f>
        <v>YU Ching Cheung天香/張譽馨</v>
      </c>
      <c r="F4" s="28" t="s">
        <v>15</v>
      </c>
      <c r="G4" s="28" t="str">
        <f>VLOOKUP(F4,姓名檔!$H$3:$I$11,2)</f>
        <v>主日奉獻</v>
      </c>
      <c r="H4" s="28"/>
      <c r="I4" s="28"/>
      <c r="J4" s="140">
        <v>172</v>
      </c>
      <c r="K4" s="28"/>
      <c r="L4" s="29"/>
      <c r="M4" s="36"/>
      <c r="N4" s="36"/>
    </row>
    <row r="5" spans="1:15" x14ac:dyDescent="0.3">
      <c r="A5" s="27">
        <v>46026</v>
      </c>
      <c r="B5" s="146">
        <f t="shared" ref="B5:B53" si="0">MONTH(A5)</f>
        <v>1</v>
      </c>
      <c r="C5" s="147">
        <f t="shared" ref="C5:C53" si="1">WEEKNUM(A5)</f>
        <v>2</v>
      </c>
      <c r="D5" s="148">
        <v>9</v>
      </c>
      <c r="E5" s="28" t="str">
        <f>VLOOKUP(D5,姓名檔!$A$2:$G$159,4,0)</f>
        <v>Min Deng鄧敏 Sandy</v>
      </c>
      <c r="F5" s="28" t="s">
        <v>15</v>
      </c>
      <c r="G5" s="28" t="str">
        <f>VLOOKUP(F5,姓名檔!$H$3:$I$11,2)</f>
        <v>主日奉獻</v>
      </c>
      <c r="H5" s="28"/>
      <c r="I5" s="28"/>
      <c r="J5" s="140">
        <v>20</v>
      </c>
      <c r="K5" s="28"/>
      <c r="L5" s="29"/>
      <c r="M5" s="36"/>
      <c r="N5" s="36"/>
    </row>
    <row r="6" spans="1:15" x14ac:dyDescent="0.3">
      <c r="A6" s="27">
        <v>46026</v>
      </c>
      <c r="B6" s="146">
        <f t="shared" si="0"/>
        <v>1</v>
      </c>
      <c r="C6" s="147">
        <f t="shared" si="1"/>
        <v>2</v>
      </c>
      <c r="D6" s="148">
        <v>20</v>
      </c>
      <c r="E6" s="28" t="str">
        <f>VLOOKUP(D6,姓名檔!$A$2:$G$159,4,0)</f>
        <v>不具名</v>
      </c>
      <c r="F6" s="28" t="s">
        <v>15</v>
      </c>
      <c r="G6" s="28" t="str">
        <f>VLOOKUP(F6,姓名檔!$H$3:$I$11,2)</f>
        <v>主日奉獻</v>
      </c>
      <c r="H6" s="28">
        <f>VLOOKUP(D6,姓名檔!$A$2:G$159,5,0)</f>
        <v>0</v>
      </c>
      <c r="I6" s="28"/>
      <c r="J6" s="140">
        <v>162</v>
      </c>
      <c r="K6" s="28"/>
      <c r="L6" s="29"/>
      <c r="M6" s="36"/>
      <c r="N6" s="36"/>
    </row>
    <row r="7" spans="1:15" x14ac:dyDescent="0.3">
      <c r="A7" s="27">
        <v>46026</v>
      </c>
      <c r="B7" s="146">
        <f t="shared" si="0"/>
        <v>1</v>
      </c>
      <c r="C7" s="147">
        <f t="shared" si="1"/>
        <v>2</v>
      </c>
      <c r="D7" s="148">
        <v>41</v>
      </c>
      <c r="E7" s="28" t="str">
        <f>VLOOKUP(D7,姓名檔!$A$2:$G$159,4,0)</f>
        <v>王思旭 Sixu Wang(王悅玲)</v>
      </c>
      <c r="F7" s="28" t="s">
        <v>15</v>
      </c>
      <c r="G7" s="28" t="str">
        <f>VLOOKUP(F7,姓名檔!$H$3:$I$11,2)</f>
        <v>主日奉獻</v>
      </c>
      <c r="H7" s="28" t="str">
        <f>VLOOKUP(D7,姓名檔!$A$2:G$159,5,0)</f>
        <v>Bank of America</v>
      </c>
      <c r="I7" s="28">
        <v>1373</v>
      </c>
      <c r="J7" s="140">
        <v>100</v>
      </c>
      <c r="K7" s="30">
        <v>46028</v>
      </c>
      <c r="L7" s="29">
        <f>SUM(J4:J7)</f>
        <v>454</v>
      </c>
      <c r="M7" s="36"/>
      <c r="N7" s="36"/>
    </row>
    <row r="8" spans="1:15" x14ac:dyDescent="0.3">
      <c r="A8" s="13">
        <v>46033</v>
      </c>
      <c r="B8" s="149">
        <f t="shared" si="0"/>
        <v>1</v>
      </c>
      <c r="C8" s="150">
        <f t="shared" si="1"/>
        <v>3</v>
      </c>
      <c r="D8" s="151">
        <v>45</v>
      </c>
      <c r="E8" s="14" t="str">
        <f>VLOOKUP(D8,姓名檔!$A$2:$G$159,4,0)</f>
        <v>Dong Fang Li李東方</v>
      </c>
      <c r="F8" s="14" t="s">
        <v>15</v>
      </c>
      <c r="G8" s="14" t="str">
        <f>VLOOKUP(F8,姓名檔!$H$3:$I$11,2)</f>
        <v>主日奉獻</v>
      </c>
      <c r="H8" s="14">
        <f>VLOOKUP(D8,姓名檔!$A$2:G$159,5,0)</f>
        <v>0</v>
      </c>
      <c r="I8" s="14"/>
      <c r="J8" s="138">
        <v>10</v>
      </c>
      <c r="K8" s="14"/>
      <c r="L8" s="15"/>
      <c r="M8" s="36"/>
      <c r="N8" s="36"/>
    </row>
    <row r="9" spans="1:15" x14ac:dyDescent="0.3">
      <c r="A9" s="13">
        <v>46033</v>
      </c>
      <c r="B9" s="149">
        <f t="shared" si="0"/>
        <v>1</v>
      </c>
      <c r="C9" s="150">
        <f t="shared" si="1"/>
        <v>3</v>
      </c>
      <c r="D9" s="151">
        <v>20</v>
      </c>
      <c r="E9" s="14" t="str">
        <f>VLOOKUP(D9,姓名檔!$A$2:$G$159,4,0)</f>
        <v>不具名</v>
      </c>
      <c r="F9" s="14" t="s">
        <v>15</v>
      </c>
      <c r="G9" s="14" t="str">
        <f>VLOOKUP(F9,姓名檔!$H$3:$I$11,2)</f>
        <v>主日奉獻</v>
      </c>
      <c r="H9" s="14">
        <f>VLOOKUP(D9,姓名檔!$A$2:G$159,5,0)</f>
        <v>0</v>
      </c>
      <c r="I9" s="14"/>
      <c r="J9" s="138">
        <v>43</v>
      </c>
      <c r="K9" s="16"/>
      <c r="L9" s="15"/>
      <c r="M9" s="36"/>
      <c r="N9" s="36"/>
    </row>
    <row r="10" spans="1:15" x14ac:dyDescent="0.3">
      <c r="A10" s="13">
        <v>46033</v>
      </c>
      <c r="B10" s="149">
        <f t="shared" si="0"/>
        <v>1</v>
      </c>
      <c r="C10" s="150">
        <f>WEEKNUM(A10)</f>
        <v>3</v>
      </c>
      <c r="D10" s="151">
        <v>41</v>
      </c>
      <c r="E10" s="14" t="str">
        <f>VLOOKUP(D10,姓名檔!$A$2:$G$159,4,0)</f>
        <v>王思旭 Sixu Wang(王悅玲)</v>
      </c>
      <c r="F10" s="14" t="s">
        <v>15</v>
      </c>
      <c r="G10" s="14" t="str">
        <f>VLOOKUP(F10,姓名檔!$H$3:$I$11,2)</f>
        <v>主日奉獻</v>
      </c>
      <c r="H10" s="14" t="str">
        <f>VLOOKUP(D10,姓名檔!$A$2:G$159,5,0)</f>
        <v>Bank of America</v>
      </c>
      <c r="I10" s="14">
        <v>1347</v>
      </c>
      <c r="J10" s="138">
        <v>100</v>
      </c>
      <c r="K10" s="16"/>
      <c r="L10" s="15"/>
      <c r="M10" s="70"/>
      <c r="N10" s="36"/>
    </row>
    <row r="11" spans="1:15" x14ac:dyDescent="0.3">
      <c r="A11" s="13">
        <v>46033</v>
      </c>
      <c r="B11" s="152">
        <f t="shared" si="0"/>
        <v>1</v>
      </c>
      <c r="C11" s="14">
        <f t="shared" si="1"/>
        <v>3</v>
      </c>
      <c r="D11" s="151">
        <v>18</v>
      </c>
      <c r="E11" s="14" t="str">
        <f>VLOOKUP(D11,姓名檔!$A$2:$G$159,4,0)</f>
        <v>Yan Cheng程雁</v>
      </c>
      <c r="F11" s="14" t="s">
        <v>15</v>
      </c>
      <c r="G11" s="14" t="str">
        <f>VLOOKUP(F11,姓名檔!$H$3:$I$11,2)</f>
        <v>主日奉獻</v>
      </c>
      <c r="H11" s="14" t="str">
        <f>VLOOKUP(D11,姓名檔!$A$2:G$159,5,0)</f>
        <v>Bank of America</v>
      </c>
      <c r="I11" s="14">
        <v>325</v>
      </c>
      <c r="J11" s="138">
        <v>500</v>
      </c>
      <c r="K11" s="14"/>
      <c r="L11" s="15"/>
      <c r="M11" s="36"/>
      <c r="N11" s="36"/>
    </row>
    <row r="12" spans="1:15" x14ac:dyDescent="0.3">
      <c r="A12" s="13">
        <v>46033</v>
      </c>
      <c r="B12" s="152">
        <f t="shared" si="0"/>
        <v>1</v>
      </c>
      <c r="C12" s="14">
        <f t="shared" si="1"/>
        <v>3</v>
      </c>
      <c r="D12" s="151">
        <v>11</v>
      </c>
      <c r="E12" s="14" t="str">
        <f>VLOOKUP(D12,姓名檔!$A$2:$G$159,4,0)</f>
        <v>Yu Mei Feng馮俞梅</v>
      </c>
      <c r="F12" s="14" t="s">
        <v>15</v>
      </c>
      <c r="G12" s="14" t="str">
        <f>VLOOKUP(F12,姓名檔!$H$3:$I$11,2)</f>
        <v>主日奉獻</v>
      </c>
      <c r="H12" s="14" t="str">
        <f>VLOOKUP(D12,姓名檔!$A$2:G$159,5,0)</f>
        <v>Bank of America</v>
      </c>
      <c r="I12" s="14">
        <v>1776</v>
      </c>
      <c r="J12" s="138">
        <v>100</v>
      </c>
      <c r="K12" s="14"/>
      <c r="L12" s="15"/>
      <c r="M12" s="36"/>
      <c r="N12" s="36"/>
    </row>
    <row r="13" spans="1:15" x14ac:dyDescent="0.3">
      <c r="A13" s="13">
        <v>46033</v>
      </c>
      <c r="B13" s="152">
        <f t="shared" si="0"/>
        <v>1</v>
      </c>
      <c r="C13" s="14">
        <f t="shared" si="1"/>
        <v>3</v>
      </c>
      <c r="D13" s="151">
        <v>8</v>
      </c>
      <c r="E13" s="14" t="str">
        <f>VLOOKUP(D13,姓名檔!$A$2:$G$159,4,0)</f>
        <v>Christopher Liu Pamela Yu Liu</v>
      </c>
      <c r="F13" s="14" t="s">
        <v>15</v>
      </c>
      <c r="G13" s="14" t="str">
        <f>VLOOKUP(F13,姓名檔!$H$3:$I$11,2)</f>
        <v>主日奉獻</v>
      </c>
      <c r="H13" s="14" t="str">
        <f>VLOOKUP(D13,姓名檔!$A$2:G$159,5,0)</f>
        <v>Bank of America</v>
      </c>
      <c r="I13" s="14">
        <v>5524</v>
      </c>
      <c r="J13" s="138">
        <v>200</v>
      </c>
      <c r="K13" s="16">
        <v>46036</v>
      </c>
      <c r="L13" s="15">
        <f>SUM(J8:J13)</f>
        <v>953</v>
      </c>
      <c r="M13" s="36"/>
      <c r="N13" s="36"/>
    </row>
    <row r="14" spans="1:15" x14ac:dyDescent="0.3">
      <c r="A14" s="2">
        <v>46033</v>
      </c>
      <c r="B14" s="71">
        <f t="shared" si="0"/>
        <v>1</v>
      </c>
      <c r="C14" s="3">
        <f t="shared" si="1"/>
        <v>3</v>
      </c>
      <c r="D14" s="69">
        <v>20</v>
      </c>
      <c r="E14" s="3" t="str">
        <f>VLOOKUP(D14,姓名檔!$A$2:$G$159,4,0)</f>
        <v>不具名</v>
      </c>
      <c r="F14" s="3" t="s">
        <v>15</v>
      </c>
      <c r="G14" s="3" t="str">
        <f>VLOOKUP(F14,姓名檔!$H$3:$I$11,2)</f>
        <v>主日奉獻</v>
      </c>
      <c r="H14" s="3" t="s">
        <v>218</v>
      </c>
      <c r="I14" s="3"/>
      <c r="J14" s="136">
        <v>1.07</v>
      </c>
      <c r="K14" s="4">
        <v>46036</v>
      </c>
      <c r="L14" s="7">
        <f>J14</f>
        <v>1.07</v>
      </c>
      <c r="M14" s="36"/>
      <c r="N14" s="36"/>
    </row>
    <row r="15" spans="1:15" x14ac:dyDescent="0.3">
      <c r="A15" s="32">
        <v>46040</v>
      </c>
      <c r="B15" s="155">
        <f t="shared" si="0"/>
        <v>1</v>
      </c>
      <c r="C15" s="31">
        <f t="shared" si="1"/>
        <v>4</v>
      </c>
      <c r="D15" s="159">
        <v>120</v>
      </c>
      <c r="E15" s="154" t="s">
        <v>228</v>
      </c>
      <c r="F15" s="31" t="s">
        <v>15</v>
      </c>
      <c r="G15" s="31" t="str">
        <f>VLOOKUP(F15,姓名檔!$H$3:$I$11,2)</f>
        <v>主日奉獻</v>
      </c>
      <c r="H15" s="31">
        <f>VLOOKUP(D15,姓名檔!$A$2:G$159,5,0)</f>
        <v>0</v>
      </c>
      <c r="I15" s="31"/>
      <c r="J15" s="137">
        <v>100</v>
      </c>
      <c r="K15" s="34"/>
      <c r="L15" s="33"/>
      <c r="M15" s="36"/>
      <c r="N15" s="36"/>
    </row>
    <row r="16" spans="1:15" x14ac:dyDescent="0.3">
      <c r="A16" s="32">
        <v>46040</v>
      </c>
      <c r="B16" s="157">
        <f t="shared" ref="B16" si="2">MONTH(A16)</f>
        <v>1</v>
      </c>
      <c r="C16" s="158">
        <f t="shared" ref="C16" si="3">WEEKNUM(A16)</f>
        <v>4</v>
      </c>
      <c r="D16" s="156">
        <v>27</v>
      </c>
      <c r="E16" s="31" t="str">
        <f>VLOOKUP(D16,姓名檔!$A$2:$G$159,4,0)</f>
        <v>Sylvia Fine小元Charles</v>
      </c>
      <c r="F16" s="31" t="s">
        <v>15</v>
      </c>
      <c r="G16" s="31" t="str">
        <f>VLOOKUP(F16,姓名檔!$H$3:$I$11,2)</f>
        <v>主日奉獻</v>
      </c>
      <c r="H16" s="31"/>
      <c r="I16" s="31"/>
      <c r="J16" s="137">
        <v>50</v>
      </c>
      <c r="K16" s="31"/>
      <c r="L16" s="33"/>
      <c r="M16" s="36"/>
      <c r="N16" s="36"/>
    </row>
    <row r="17" spans="1:16" x14ac:dyDescent="0.3">
      <c r="A17" s="32">
        <v>46040</v>
      </c>
      <c r="B17" s="157">
        <f t="shared" si="0"/>
        <v>1</v>
      </c>
      <c r="C17" s="158">
        <f t="shared" si="1"/>
        <v>4</v>
      </c>
      <c r="D17" s="156">
        <v>20</v>
      </c>
      <c r="E17" s="31" t="str">
        <f>VLOOKUP(D17,姓名檔!$A$2:$G$159,4,0)</f>
        <v>不具名</v>
      </c>
      <c r="F17" s="31" t="s">
        <v>229</v>
      </c>
      <c r="G17" s="31" t="str">
        <f>VLOOKUP(F17,姓名檔!$H$3:$I$11,2)</f>
        <v>什一奉獻</v>
      </c>
      <c r="H17" s="170" t="s">
        <v>247</v>
      </c>
      <c r="I17" s="31"/>
      <c r="J17" s="137">
        <v>2000</v>
      </c>
      <c r="K17" s="31"/>
      <c r="L17" s="33"/>
      <c r="M17" s="36"/>
      <c r="N17" s="36"/>
    </row>
    <row r="18" spans="1:16" x14ac:dyDescent="0.3">
      <c r="A18" s="32">
        <v>46040</v>
      </c>
      <c r="B18" s="157">
        <f t="shared" si="0"/>
        <v>1</v>
      </c>
      <c r="C18" s="158">
        <f t="shared" si="1"/>
        <v>4</v>
      </c>
      <c r="D18" s="156">
        <v>17</v>
      </c>
      <c r="E18" s="31" t="str">
        <f>VLOOKUP(D18,姓名檔!$A$2:$G$159,4,0)</f>
        <v>YU Ching Cheung天香/張譽馨</v>
      </c>
      <c r="F18" s="31" t="s">
        <v>15</v>
      </c>
      <c r="G18" s="31" t="str">
        <f>VLOOKUP(F18,姓名檔!$H$3:$I$11,2)</f>
        <v>主日奉獻</v>
      </c>
      <c r="H18" s="31">
        <f>VLOOKUP(D18,姓名檔!$A$2:G$159,5,0)</f>
        <v>0</v>
      </c>
      <c r="I18" s="31"/>
      <c r="J18" s="137">
        <v>100</v>
      </c>
      <c r="K18" s="34"/>
      <c r="L18" s="33"/>
      <c r="M18" s="36"/>
      <c r="N18" s="36"/>
    </row>
    <row r="19" spans="1:16" x14ac:dyDescent="0.3">
      <c r="A19" s="32">
        <v>46040</v>
      </c>
      <c r="B19" s="157">
        <f t="shared" si="0"/>
        <v>1</v>
      </c>
      <c r="C19" s="158">
        <f t="shared" si="1"/>
        <v>4</v>
      </c>
      <c r="D19" s="156">
        <v>45</v>
      </c>
      <c r="E19" s="31" t="str">
        <f>VLOOKUP(D19,姓名檔!$A$2:$G$159,4,0)</f>
        <v>Dong Fang Li李東方</v>
      </c>
      <c r="F19" s="31" t="s">
        <v>15</v>
      </c>
      <c r="G19" s="31" t="str">
        <f>VLOOKUP(F19,姓名檔!$H$3:$I$11,2)</f>
        <v>主日奉獻</v>
      </c>
      <c r="H19" s="31">
        <f>VLOOKUP(D19,姓名檔!$A$2:G$159,5,0)</f>
        <v>0</v>
      </c>
      <c r="I19" s="31"/>
      <c r="J19" s="137">
        <v>10</v>
      </c>
      <c r="K19" s="31"/>
      <c r="L19" s="33"/>
      <c r="M19" s="36"/>
      <c r="N19" s="36"/>
    </row>
    <row r="20" spans="1:16" x14ac:dyDescent="0.3">
      <c r="A20" s="32">
        <v>46040</v>
      </c>
      <c r="B20" s="157">
        <f t="shared" ref="B20" si="4">MONTH(A20)</f>
        <v>1</v>
      </c>
      <c r="C20" s="158">
        <f t="shared" ref="C20" si="5">WEEKNUM(A20)</f>
        <v>4</v>
      </c>
      <c r="D20" s="156">
        <v>20</v>
      </c>
      <c r="E20" s="31" t="str">
        <f>VLOOKUP(D20,姓名檔!$A$2:$G$159,4,0)</f>
        <v>不具名</v>
      </c>
      <c r="F20" s="31" t="s">
        <v>15</v>
      </c>
      <c r="G20" s="31" t="str">
        <f>VLOOKUP(F20,姓名檔!$H$3:$I$11,2)</f>
        <v>主日奉獻</v>
      </c>
      <c r="H20" s="31">
        <f>VLOOKUP(D20,姓名檔!$A$2:G$159,5,0)</f>
        <v>0</v>
      </c>
      <c r="I20" s="31"/>
      <c r="J20" s="137">
        <v>9</v>
      </c>
      <c r="K20" s="31"/>
      <c r="L20" s="33"/>
      <c r="M20" s="36"/>
      <c r="N20" s="36"/>
    </row>
    <row r="21" spans="1:16" x14ac:dyDescent="0.3">
      <c r="A21" s="32">
        <v>46040</v>
      </c>
      <c r="B21" s="157">
        <f t="shared" si="0"/>
        <v>1</v>
      </c>
      <c r="C21" s="158">
        <f t="shared" si="1"/>
        <v>4</v>
      </c>
      <c r="D21" s="156">
        <v>11</v>
      </c>
      <c r="E21" s="31" t="str">
        <f>VLOOKUP(D21,姓名檔!$A$2:$G$159,4,0)</f>
        <v>Yu Mei Feng馮俞梅</v>
      </c>
      <c r="F21" s="31" t="s">
        <v>15</v>
      </c>
      <c r="G21" s="31" t="str">
        <f>VLOOKUP(F21,姓名檔!$H$3:$I$11,2)</f>
        <v>主日奉獻</v>
      </c>
      <c r="H21" s="31" t="str">
        <f>VLOOKUP(D21,姓名檔!$A$2:G$159,5,0)</f>
        <v>Bank of America</v>
      </c>
      <c r="I21" s="31">
        <v>1777</v>
      </c>
      <c r="J21" s="137">
        <v>200</v>
      </c>
      <c r="K21" s="34"/>
      <c r="L21" s="33"/>
      <c r="M21" s="36"/>
      <c r="N21" s="36"/>
    </row>
    <row r="22" spans="1:16" x14ac:dyDescent="0.3">
      <c r="A22" s="32">
        <v>46040</v>
      </c>
      <c r="B22" s="157">
        <f t="shared" ref="B22:B23" si="6">MONTH(A22)</f>
        <v>1</v>
      </c>
      <c r="C22" s="158">
        <f t="shared" ref="C22:C23" si="7">WEEKNUM(A22)</f>
        <v>4</v>
      </c>
      <c r="D22" s="156">
        <v>8</v>
      </c>
      <c r="E22" s="31" t="str">
        <f>VLOOKUP(D22,姓名檔!$A$2:$G$159,4,0)</f>
        <v>Christopher Liu Pamela Yu Liu</v>
      </c>
      <c r="F22" s="31" t="s">
        <v>15</v>
      </c>
      <c r="G22" s="31" t="str">
        <f>VLOOKUP(F22,姓名檔!$H$3:$I$11,2)</f>
        <v>主日奉獻</v>
      </c>
      <c r="H22" s="31" t="str">
        <f>VLOOKUP(D22,姓名檔!$A$2:G$159,5,0)</f>
        <v>Bank of America</v>
      </c>
      <c r="I22" s="31">
        <v>5525</v>
      </c>
      <c r="J22" s="137">
        <v>200</v>
      </c>
      <c r="K22" s="34"/>
      <c r="L22" s="33"/>
      <c r="M22" s="36"/>
      <c r="N22" s="36"/>
    </row>
    <row r="23" spans="1:16" x14ac:dyDescent="0.3">
      <c r="A23" s="32">
        <v>46040</v>
      </c>
      <c r="B23" s="157">
        <f t="shared" si="6"/>
        <v>1</v>
      </c>
      <c r="C23" s="158">
        <f t="shared" si="7"/>
        <v>4</v>
      </c>
      <c r="D23" s="156">
        <v>41</v>
      </c>
      <c r="E23" s="31" t="str">
        <f>VLOOKUP(D23,姓名檔!$A$2:$G$159,4,0)</f>
        <v>王思旭 Sixu Wang(王悅玲)</v>
      </c>
      <c r="F23" s="31" t="s">
        <v>15</v>
      </c>
      <c r="G23" s="31" t="str">
        <f>VLOOKUP(F23,姓名檔!$H$3:$I$11,2)</f>
        <v>主日奉獻</v>
      </c>
      <c r="H23" s="31" t="str">
        <f>VLOOKUP(D23,姓名檔!$A$2:G$159,5,0)</f>
        <v>Bank of America</v>
      </c>
      <c r="I23" s="31">
        <v>1348</v>
      </c>
      <c r="J23" s="137">
        <v>100</v>
      </c>
      <c r="K23" s="34"/>
      <c r="L23" s="33"/>
      <c r="M23" s="36"/>
      <c r="N23" s="36"/>
    </row>
    <row r="24" spans="1:16" x14ac:dyDescent="0.3">
      <c r="A24" s="32">
        <v>46040</v>
      </c>
      <c r="B24" s="31">
        <f t="shared" si="0"/>
        <v>1</v>
      </c>
      <c r="C24" s="31">
        <f t="shared" si="1"/>
        <v>4</v>
      </c>
      <c r="D24" s="31">
        <v>10</v>
      </c>
      <c r="E24" s="31" t="str">
        <f>VLOOKUP(D24,姓名檔!$A$2:$G$159,4,0)</f>
        <v>Yu Y Kang, Lie Chang Zhu</v>
      </c>
      <c r="F24" s="31" t="s">
        <v>15</v>
      </c>
      <c r="G24" s="31" t="str">
        <f>VLOOKUP(F24,姓名檔!$H$3:$I$11,2)</f>
        <v>主日奉獻</v>
      </c>
      <c r="H24" s="31" t="str">
        <f>VLOOKUP(D24,姓名檔!$A$2:G$159,5,0)</f>
        <v>Bank of America</v>
      </c>
      <c r="I24" s="31">
        <v>135</v>
      </c>
      <c r="J24" s="137">
        <v>100</v>
      </c>
      <c r="K24" s="34">
        <v>46043</v>
      </c>
      <c r="L24" s="33">
        <f>SUM(J15:J24)</f>
        <v>2869</v>
      </c>
      <c r="M24" s="36"/>
      <c r="N24" s="36"/>
    </row>
    <row r="25" spans="1:16" x14ac:dyDescent="0.3">
      <c r="A25" s="9">
        <v>46047</v>
      </c>
      <c r="B25" s="10">
        <f t="shared" si="0"/>
        <v>1</v>
      </c>
      <c r="C25" s="10">
        <f t="shared" si="1"/>
        <v>5</v>
      </c>
      <c r="D25" s="10">
        <v>45</v>
      </c>
      <c r="E25" s="10" t="str">
        <f>VLOOKUP(D25,姓名檔!$A$2:$G$159,4,0)</f>
        <v>Dong Fang Li李東方</v>
      </c>
      <c r="F25" s="10" t="s">
        <v>15</v>
      </c>
      <c r="G25" s="10" t="str">
        <f>VLOOKUP(F25,姓名檔!$H$3:$I$11,2)</f>
        <v>主日奉獻</v>
      </c>
      <c r="H25" s="10">
        <f>VLOOKUP(D25,姓名檔!$A$2:G$159,5,0)</f>
        <v>0</v>
      </c>
      <c r="I25" s="10"/>
      <c r="J25" s="135">
        <v>10</v>
      </c>
      <c r="K25" s="10"/>
      <c r="L25" s="11"/>
      <c r="M25" s="37"/>
      <c r="N25" s="36"/>
    </row>
    <row r="26" spans="1:16" x14ac:dyDescent="0.3">
      <c r="A26" s="9">
        <v>46047</v>
      </c>
      <c r="B26" s="10">
        <f t="shared" si="0"/>
        <v>1</v>
      </c>
      <c r="C26" s="10">
        <f t="shared" si="1"/>
        <v>5</v>
      </c>
      <c r="D26" s="10">
        <v>9</v>
      </c>
      <c r="E26" s="10" t="str">
        <f>VLOOKUP(D26,姓名檔!$A$2:$G$159,4,0)</f>
        <v>Min Deng鄧敏 Sandy</v>
      </c>
      <c r="F26" s="10" t="s">
        <v>15</v>
      </c>
      <c r="G26" s="10" t="str">
        <f>VLOOKUP(F26,姓名檔!$H$3:$I$11,2)</f>
        <v>主日奉獻</v>
      </c>
      <c r="H26" s="10"/>
      <c r="I26" s="10"/>
      <c r="J26" s="135">
        <v>20</v>
      </c>
      <c r="K26" s="12"/>
      <c r="L26" s="11"/>
      <c r="M26" s="37"/>
      <c r="N26" s="36"/>
    </row>
    <row r="27" spans="1:16" x14ac:dyDescent="0.3">
      <c r="A27" s="9">
        <v>46047</v>
      </c>
      <c r="B27" s="10">
        <f t="shared" ref="B27" si="8">MONTH(A27)</f>
        <v>1</v>
      </c>
      <c r="C27" s="10">
        <f t="shared" ref="C27" si="9">WEEKNUM(A27)</f>
        <v>5</v>
      </c>
      <c r="D27" s="10">
        <v>20</v>
      </c>
      <c r="E27" s="10" t="str">
        <f>VLOOKUP(D27,姓名檔!$A$2:$G$159,4,0)</f>
        <v>不具名</v>
      </c>
      <c r="F27" s="10" t="s">
        <v>15</v>
      </c>
      <c r="G27" s="10" t="str">
        <f>VLOOKUP(F27,姓名檔!$H$3:$I$11,2)</f>
        <v>主日奉獻</v>
      </c>
      <c r="H27" s="10">
        <f>VLOOKUP(D27,姓名檔!$A$2:G$159,5,0)</f>
        <v>0</v>
      </c>
      <c r="I27" s="10"/>
      <c r="J27" s="135">
        <v>323</v>
      </c>
      <c r="K27" s="12"/>
      <c r="L27" s="11"/>
      <c r="M27" s="37"/>
      <c r="N27" s="36"/>
    </row>
    <row r="28" spans="1:16" x14ac:dyDescent="0.3">
      <c r="A28" s="9">
        <v>46047</v>
      </c>
      <c r="B28" s="10">
        <f t="shared" si="0"/>
        <v>1</v>
      </c>
      <c r="C28" s="10">
        <f t="shared" si="1"/>
        <v>5</v>
      </c>
      <c r="D28" s="10">
        <v>41</v>
      </c>
      <c r="E28" s="10" t="str">
        <f>VLOOKUP(D28,姓名檔!$A$2:$G$159,4,0)</f>
        <v>王思旭 Sixu Wang(王悅玲)</v>
      </c>
      <c r="F28" s="10" t="s">
        <v>230</v>
      </c>
      <c r="G28" s="10" t="str">
        <f>VLOOKUP(F28,姓名檔!$H$3:$I$18,2)</f>
        <v>主日奉獻</v>
      </c>
      <c r="H28" s="10" t="s">
        <v>231</v>
      </c>
      <c r="I28" s="10">
        <v>1349</v>
      </c>
      <c r="J28" s="135">
        <v>100</v>
      </c>
      <c r="K28" s="12"/>
      <c r="L28" s="11"/>
      <c r="M28" s="36"/>
      <c r="N28" s="36"/>
    </row>
    <row r="29" spans="1:16" x14ac:dyDescent="0.3">
      <c r="A29" s="9">
        <v>46047</v>
      </c>
      <c r="B29" s="10">
        <f t="shared" si="0"/>
        <v>1</v>
      </c>
      <c r="C29" s="10">
        <f t="shared" si="1"/>
        <v>5</v>
      </c>
      <c r="D29" s="160">
        <v>13</v>
      </c>
      <c r="E29" s="10" t="str">
        <f>VLOOKUP(D29,姓名檔!$A$2:$G$159,4,0)</f>
        <v>Ed &amp;Allison Lee</v>
      </c>
      <c r="F29" s="10" t="s">
        <v>15</v>
      </c>
      <c r="G29" s="10" t="str">
        <f>VLOOKUP(F29,姓名檔!$H$3:$I$18,2)</f>
        <v>主日奉獻</v>
      </c>
      <c r="H29" s="10" t="str">
        <f>VLOOKUP(D29,姓名檔!$A$2:G$159,5,0)</f>
        <v>US Bank</v>
      </c>
      <c r="I29" s="10">
        <v>9844</v>
      </c>
      <c r="J29" s="135">
        <v>100</v>
      </c>
      <c r="K29" s="10"/>
      <c r="L29" s="11"/>
      <c r="M29" s="36" t="s">
        <v>233</v>
      </c>
      <c r="N29" s="36"/>
      <c r="P29" t="s">
        <v>246</v>
      </c>
    </row>
    <row r="30" spans="1:16" x14ac:dyDescent="0.3">
      <c r="A30" s="9">
        <v>46047</v>
      </c>
      <c r="B30" s="10">
        <f t="shared" si="0"/>
        <v>1</v>
      </c>
      <c r="C30" s="10">
        <f t="shared" si="1"/>
        <v>5</v>
      </c>
      <c r="D30" s="10">
        <v>18</v>
      </c>
      <c r="E30" s="10" t="str">
        <f>VLOOKUP(D30,姓名檔!$A$2:$G$159,4,0)</f>
        <v>Yan Cheng程雁</v>
      </c>
      <c r="F30" s="10" t="s">
        <v>15</v>
      </c>
      <c r="G30" s="10" t="str">
        <f>VLOOKUP(F30,姓名檔!$H$3:$I$18,2)</f>
        <v>主日奉獻</v>
      </c>
      <c r="H30" s="10" t="str">
        <f>VLOOKUP(D30,姓名檔!$A$2:G$159,5,0)</f>
        <v>Bank of America</v>
      </c>
      <c r="I30" s="10">
        <v>154</v>
      </c>
      <c r="J30" s="135">
        <v>100</v>
      </c>
      <c r="K30" s="12">
        <v>46050</v>
      </c>
      <c r="L30" s="11">
        <f>SUM(J25:J30)</f>
        <v>653</v>
      </c>
      <c r="M30" s="36">
        <f>SUM(L7:L30)</f>
        <v>4930.07</v>
      </c>
      <c r="N30" s="36" t="s">
        <v>234</v>
      </c>
    </row>
    <row r="31" spans="1:16" x14ac:dyDescent="0.3">
      <c r="A31" s="38">
        <v>46054</v>
      </c>
      <c r="B31" s="39">
        <f t="shared" si="0"/>
        <v>2</v>
      </c>
      <c r="C31" s="39">
        <f t="shared" si="1"/>
        <v>6</v>
      </c>
      <c r="D31" s="39">
        <v>9</v>
      </c>
      <c r="E31" s="39" t="str">
        <f>VLOOKUP(D31,姓名檔!$A$2:$G$159,4,0)</f>
        <v>Min Deng鄧敏 Sandy</v>
      </c>
      <c r="F31" s="39" t="s">
        <v>15</v>
      </c>
      <c r="G31" s="39" t="str">
        <f>VLOOKUP(F31,姓名檔!$H$3:$I$18,2)</f>
        <v>主日奉獻</v>
      </c>
      <c r="H31" s="39"/>
      <c r="I31" s="39"/>
      <c r="J31" s="139">
        <v>20</v>
      </c>
      <c r="K31" s="41"/>
      <c r="L31" s="40"/>
      <c r="M31" s="92"/>
      <c r="N31" s="92"/>
    </row>
    <row r="32" spans="1:16" x14ac:dyDescent="0.3">
      <c r="A32" s="38">
        <v>46054</v>
      </c>
      <c r="B32" s="39">
        <f t="shared" si="0"/>
        <v>2</v>
      </c>
      <c r="C32" s="39">
        <f t="shared" si="1"/>
        <v>6</v>
      </c>
      <c r="D32" s="39">
        <v>12</v>
      </c>
      <c r="E32" s="39" t="str">
        <f>VLOOKUP(D32,姓名檔!$A$2:$G$159,4,0)</f>
        <v>Yu Hui Zhao趙宇輝 Yu Fei</v>
      </c>
      <c r="F32" s="39" t="s">
        <v>15</v>
      </c>
      <c r="G32" s="39" t="str">
        <f>VLOOKUP(F32,姓名檔!$H$3:$I$18,2)</f>
        <v>主日奉獻</v>
      </c>
      <c r="H32" s="39"/>
      <c r="I32" s="39"/>
      <c r="J32" s="139">
        <v>100</v>
      </c>
      <c r="K32" s="39"/>
      <c r="L32" s="40"/>
      <c r="M32" s="92"/>
      <c r="N32" s="92"/>
    </row>
    <row r="33" spans="1:15" x14ac:dyDescent="0.3">
      <c r="A33" s="38">
        <v>46054</v>
      </c>
      <c r="B33" s="39">
        <f t="shared" ref="B33" si="10">MONTH(A33)</f>
        <v>2</v>
      </c>
      <c r="C33" s="39">
        <f t="shared" ref="C33" si="11">WEEKNUM(A33)</f>
        <v>6</v>
      </c>
      <c r="D33" s="39">
        <v>20</v>
      </c>
      <c r="E33" s="39" t="str">
        <f>VLOOKUP(D33,姓名檔!$A$2:$G$159,4,0)</f>
        <v>不具名</v>
      </c>
      <c r="F33" s="39" t="s">
        <v>15</v>
      </c>
      <c r="G33" s="39" t="str">
        <f>VLOOKUP(F33,姓名檔!$H$3:$I$18,2)</f>
        <v>主日奉獻</v>
      </c>
      <c r="H33" s="39">
        <f>VLOOKUP(D33,姓名檔!$A$2:G$159,5,0)</f>
        <v>0</v>
      </c>
      <c r="I33" s="39"/>
      <c r="J33" s="139">
        <v>32</v>
      </c>
      <c r="K33" s="39"/>
      <c r="L33" s="40"/>
      <c r="M33" s="92"/>
      <c r="N33" s="92"/>
    </row>
    <row r="34" spans="1:15" x14ac:dyDescent="0.3">
      <c r="A34" s="38">
        <v>46054</v>
      </c>
      <c r="B34" s="39">
        <f t="shared" si="0"/>
        <v>2</v>
      </c>
      <c r="C34" s="39">
        <f t="shared" si="1"/>
        <v>6</v>
      </c>
      <c r="D34" s="39">
        <v>41</v>
      </c>
      <c r="E34" s="39" t="str">
        <f>VLOOKUP(D34,姓名檔!$A$2:$G$159,4,0)</f>
        <v>王思旭 Sixu Wang(王悅玲)</v>
      </c>
      <c r="F34" s="39" t="s">
        <v>15</v>
      </c>
      <c r="G34" s="39" t="str">
        <f>VLOOKUP(F34,姓名檔!$H$3:$I$18,2)</f>
        <v>主日奉獻</v>
      </c>
      <c r="H34" s="39" t="str">
        <f>VLOOKUP(D34,姓名檔!$A$2:G$159,5,0)</f>
        <v>Bank of America</v>
      </c>
      <c r="I34" s="39">
        <v>1350</v>
      </c>
      <c r="J34" s="139">
        <v>100</v>
      </c>
      <c r="K34" s="39"/>
      <c r="L34" s="40"/>
      <c r="M34" s="92"/>
      <c r="N34" s="92"/>
    </row>
    <row r="35" spans="1:15" x14ac:dyDescent="0.3">
      <c r="A35" s="38">
        <v>46054</v>
      </c>
      <c r="B35" s="39">
        <f t="shared" si="0"/>
        <v>2</v>
      </c>
      <c r="C35" s="39">
        <f t="shared" si="1"/>
        <v>6</v>
      </c>
      <c r="D35" s="39">
        <v>8</v>
      </c>
      <c r="E35" s="39" t="str">
        <f>VLOOKUP(D35,姓名檔!$A$2:$G$159,4,0)</f>
        <v>Christopher Liu Pamela Yu Liu</v>
      </c>
      <c r="F35" s="39" t="s">
        <v>15</v>
      </c>
      <c r="G35" s="39" t="str">
        <f>VLOOKUP(F35,姓名檔!$H$3:$I$18,2)</f>
        <v>主日奉獻</v>
      </c>
      <c r="H35" s="39" t="str">
        <f>VLOOKUP(D35,姓名檔!$A$2:G$159,5,0)</f>
        <v>Bank of America</v>
      </c>
      <c r="I35" s="39">
        <v>5526</v>
      </c>
      <c r="J35" s="139">
        <v>200</v>
      </c>
      <c r="K35" s="41"/>
      <c r="L35" s="40"/>
      <c r="M35" s="93"/>
      <c r="N35" s="92"/>
    </row>
    <row r="36" spans="1:15" x14ac:dyDescent="0.3">
      <c r="A36" s="38">
        <v>46054</v>
      </c>
      <c r="B36" s="39">
        <f t="shared" si="0"/>
        <v>2</v>
      </c>
      <c r="C36" s="39">
        <f t="shared" si="1"/>
        <v>6</v>
      </c>
      <c r="D36" s="39">
        <v>13</v>
      </c>
      <c r="E36" s="39" t="str">
        <f>VLOOKUP(D36,姓名檔!$A$2:$G$159,4,0)</f>
        <v>Ed &amp;Allison Lee</v>
      </c>
      <c r="F36" s="39" t="s">
        <v>15</v>
      </c>
      <c r="G36" s="39" t="str">
        <f>VLOOKUP(F36,姓名檔!$H$3:$I$18,2)</f>
        <v>主日奉獻</v>
      </c>
      <c r="H36" s="39" t="str">
        <f>VLOOKUP(D36,姓名檔!$A$2:G$159,5,0)</f>
        <v>US Bank</v>
      </c>
      <c r="I36" s="39">
        <v>9821</v>
      </c>
      <c r="J36" s="139">
        <v>100</v>
      </c>
      <c r="K36" s="39"/>
      <c r="L36" s="40"/>
      <c r="M36" s="92"/>
      <c r="N36" s="92"/>
    </row>
    <row r="37" spans="1:15" x14ac:dyDescent="0.3">
      <c r="A37" s="38">
        <v>46054</v>
      </c>
      <c r="B37" s="39">
        <f t="shared" si="0"/>
        <v>2</v>
      </c>
      <c r="C37" s="39">
        <f t="shared" si="1"/>
        <v>6</v>
      </c>
      <c r="D37" s="39">
        <v>18</v>
      </c>
      <c r="E37" s="39" t="str">
        <f>VLOOKUP(D37,姓名檔!$A$2:$G$159,4,0)</f>
        <v>Yan Cheng程雁</v>
      </c>
      <c r="F37" s="39" t="s">
        <v>15</v>
      </c>
      <c r="G37" s="39" t="str">
        <f>VLOOKUP(F37,姓名檔!$H$3:$I$18,2)</f>
        <v>主日奉獻</v>
      </c>
      <c r="H37" s="39" t="str">
        <f>VLOOKUP(D37,姓名檔!$A$2:G$159,5,0)</f>
        <v>Bank of America</v>
      </c>
      <c r="I37" s="39">
        <v>455</v>
      </c>
      <c r="J37" s="139">
        <v>500</v>
      </c>
      <c r="K37" s="41">
        <v>46057</v>
      </c>
      <c r="L37" s="40">
        <f>SUM(J31:J37)</f>
        <v>1052</v>
      </c>
      <c r="M37" s="92" t="s">
        <v>263</v>
      </c>
      <c r="N37" s="92"/>
    </row>
    <row r="38" spans="1:15" x14ac:dyDescent="0.3">
      <c r="A38" s="32">
        <v>46061</v>
      </c>
      <c r="B38" s="31">
        <f t="shared" si="0"/>
        <v>2</v>
      </c>
      <c r="C38" s="31">
        <f t="shared" si="1"/>
        <v>7</v>
      </c>
      <c r="D38" s="31">
        <v>20</v>
      </c>
      <c r="E38" s="31" t="str">
        <f>VLOOKUP(D38,姓名檔!$A$2:$G$159,4,0)</f>
        <v>不具名</v>
      </c>
      <c r="F38" s="31" t="s">
        <v>15</v>
      </c>
      <c r="G38" s="31" t="str">
        <f>VLOOKUP(F38,姓名檔!$H$3:$I$18,2)</f>
        <v>主日奉獻</v>
      </c>
      <c r="H38" s="31">
        <f>VLOOKUP(D38,姓名檔!$A$2:G$159,5,0)</f>
        <v>0</v>
      </c>
      <c r="I38" s="31"/>
      <c r="J38" s="137">
        <v>29</v>
      </c>
      <c r="K38" s="31"/>
      <c r="L38" s="33"/>
      <c r="M38" s="92"/>
      <c r="N38" s="92"/>
    </row>
    <row r="39" spans="1:15" x14ac:dyDescent="0.3">
      <c r="A39" s="32">
        <v>46061</v>
      </c>
      <c r="B39" s="31">
        <f t="shared" si="0"/>
        <v>2</v>
      </c>
      <c r="C39" s="31">
        <f t="shared" si="1"/>
        <v>7</v>
      </c>
      <c r="D39" s="31">
        <v>11</v>
      </c>
      <c r="E39" s="31" t="str">
        <f>VLOOKUP(D39,姓名檔!$A$2:$G$159,4,0)</f>
        <v>Yu Mei Feng馮俞梅</v>
      </c>
      <c r="F39" s="31" t="s">
        <v>15</v>
      </c>
      <c r="G39" s="31" t="str">
        <f>VLOOKUP(F39,姓名檔!$H$3:$I$18,2)</f>
        <v>主日奉獻</v>
      </c>
      <c r="H39" s="31" t="str">
        <f>VLOOKUP(D39,姓名檔!$A$2:G$159,5,0)</f>
        <v>Bank of America</v>
      </c>
      <c r="I39" s="31">
        <v>1778</v>
      </c>
      <c r="J39" s="137">
        <v>200</v>
      </c>
      <c r="K39" s="31"/>
      <c r="L39" s="33"/>
      <c r="M39" s="92"/>
      <c r="N39" s="92"/>
    </row>
    <row r="40" spans="1:15" x14ac:dyDescent="0.3">
      <c r="A40" s="32">
        <v>46061</v>
      </c>
      <c r="B40" s="31">
        <f t="shared" si="0"/>
        <v>2</v>
      </c>
      <c r="C40" s="31">
        <f t="shared" si="1"/>
        <v>7</v>
      </c>
      <c r="D40" s="31">
        <v>41</v>
      </c>
      <c r="E40" s="31" t="str">
        <f>VLOOKUP(D40,姓名檔!$A$2:$G$159,4,0)</f>
        <v>王思旭 Sixu Wang(王悅玲)</v>
      </c>
      <c r="F40" s="31" t="s">
        <v>15</v>
      </c>
      <c r="G40" s="31" t="str">
        <f>VLOOKUP(F40,姓名檔!$H$3:$I$18,2)</f>
        <v>主日奉獻</v>
      </c>
      <c r="H40" s="31" t="str">
        <f>VLOOKUP(D40,姓名檔!$A$2:G$159,5,0)</f>
        <v>Bank of America</v>
      </c>
      <c r="I40" s="31">
        <v>1351</v>
      </c>
      <c r="J40" s="137">
        <v>100</v>
      </c>
      <c r="K40" s="34"/>
      <c r="L40" s="33"/>
      <c r="M40" s="92"/>
      <c r="N40" s="92"/>
    </row>
    <row r="41" spans="1:15" x14ac:dyDescent="0.3">
      <c r="A41" s="32">
        <v>46061</v>
      </c>
      <c r="B41" s="31">
        <f t="shared" si="0"/>
        <v>2</v>
      </c>
      <c r="C41" s="31">
        <f t="shared" si="1"/>
        <v>7</v>
      </c>
      <c r="D41" s="31">
        <v>8</v>
      </c>
      <c r="E41" s="31" t="str">
        <f>VLOOKUP(D41,姓名檔!$A$2:$G$159,4,0)</f>
        <v>Christopher Liu Pamela Yu Liu</v>
      </c>
      <c r="F41" s="31" t="s">
        <v>15</v>
      </c>
      <c r="G41" s="31" t="str">
        <f>VLOOKUP(F41,姓名檔!$H$3:$I$18,2)</f>
        <v>主日奉獻</v>
      </c>
      <c r="H41" s="31" t="str">
        <f>VLOOKUP(D41,姓名檔!$A$2:G$159,5,0)</f>
        <v>Bank of America</v>
      </c>
      <c r="I41" s="31">
        <v>5527</v>
      </c>
      <c r="J41" s="137">
        <v>200</v>
      </c>
      <c r="K41" s="34"/>
      <c r="L41" s="33"/>
      <c r="M41" s="92"/>
      <c r="N41" s="92"/>
    </row>
    <row r="42" spans="1:15" x14ac:dyDescent="0.3">
      <c r="A42" s="32">
        <v>46061</v>
      </c>
      <c r="B42" s="31">
        <f t="shared" si="0"/>
        <v>2</v>
      </c>
      <c r="C42" s="31">
        <f t="shared" si="1"/>
        <v>7</v>
      </c>
      <c r="D42" s="31">
        <v>10</v>
      </c>
      <c r="E42" s="31" t="str">
        <f>VLOOKUP(D42,姓名檔!$A$2:$G$159,4,0)</f>
        <v>Yu Y Kang, Lie Chang Zhu</v>
      </c>
      <c r="F42" s="31" t="s">
        <v>15</v>
      </c>
      <c r="G42" s="31" t="str">
        <f>VLOOKUP(F42,姓名檔!$H$3:$I$18,2)</f>
        <v>主日奉獻</v>
      </c>
      <c r="H42" s="31" t="str">
        <f>VLOOKUP(D42,姓名檔!$A$2:G$159,5,0)</f>
        <v>Bank of America</v>
      </c>
      <c r="I42" s="31">
        <v>136</v>
      </c>
      <c r="J42" s="137">
        <v>100</v>
      </c>
      <c r="K42" s="34">
        <v>46066</v>
      </c>
      <c r="L42" s="33">
        <f>SUM(J38:J42)</f>
        <v>629</v>
      </c>
      <c r="M42" s="92" t="s">
        <v>264</v>
      </c>
      <c r="N42" s="92"/>
    </row>
    <row r="43" spans="1:15" x14ac:dyDescent="0.3">
      <c r="A43" s="9">
        <v>46068</v>
      </c>
      <c r="B43" s="10">
        <f t="shared" si="0"/>
        <v>2</v>
      </c>
      <c r="C43" s="10">
        <f t="shared" si="1"/>
        <v>8</v>
      </c>
      <c r="D43" s="176" t="s">
        <v>256</v>
      </c>
      <c r="E43" s="10" t="str">
        <f>VLOOKUP(D43,姓名檔!$A$2:$G$159,4,0)</f>
        <v>劉珈因Lau Ka Yan(Renee)</v>
      </c>
      <c r="F43" s="10" t="s">
        <v>15</v>
      </c>
      <c r="G43" s="10" t="str">
        <f>VLOOKUP(F43,姓名檔!$H$3:$I$18,2)</f>
        <v>主日奉獻</v>
      </c>
      <c r="H43" s="10">
        <f>VLOOKUP(D43,姓名檔!$A$2:G$159,5,0)</f>
        <v>0</v>
      </c>
      <c r="I43" s="10"/>
      <c r="J43" s="135">
        <v>100</v>
      </c>
      <c r="K43" s="10"/>
      <c r="L43" s="11"/>
      <c r="M43" s="92"/>
      <c r="N43" s="92"/>
    </row>
    <row r="44" spans="1:15" x14ac:dyDescent="0.3">
      <c r="A44" s="9">
        <v>46068</v>
      </c>
      <c r="B44" s="10">
        <f t="shared" si="0"/>
        <v>2</v>
      </c>
      <c r="C44" s="10">
        <f t="shared" si="1"/>
        <v>8</v>
      </c>
      <c r="D44" s="10">
        <v>18</v>
      </c>
      <c r="E44" s="10" t="str">
        <f>VLOOKUP(D44,姓名檔!$A$2:$G$159,4,0)</f>
        <v>Yan Cheng程雁</v>
      </c>
      <c r="F44" s="10" t="s">
        <v>15</v>
      </c>
      <c r="G44" s="10" t="str">
        <f>VLOOKUP(F44,姓名檔!$H$3:$I$18,2)</f>
        <v>主日奉獻</v>
      </c>
      <c r="H44" s="10"/>
      <c r="I44" s="10"/>
      <c r="J44" s="135">
        <v>100</v>
      </c>
      <c r="K44" s="12"/>
      <c r="L44" s="11"/>
      <c r="M44" s="92"/>
      <c r="N44" s="93"/>
      <c r="O44" s="1"/>
    </row>
    <row r="45" spans="1:15" x14ac:dyDescent="0.3">
      <c r="A45" s="9">
        <v>46068</v>
      </c>
      <c r="B45" s="10">
        <f t="shared" si="0"/>
        <v>2</v>
      </c>
      <c r="C45" s="10">
        <f t="shared" si="1"/>
        <v>8</v>
      </c>
      <c r="D45" s="10">
        <v>9</v>
      </c>
      <c r="E45" s="10" t="str">
        <f>VLOOKUP(D45,姓名檔!$A$2:$G$159,4,0)</f>
        <v>Min Deng鄧敏 Sandy</v>
      </c>
      <c r="F45" s="10" t="s">
        <v>15</v>
      </c>
      <c r="G45" s="10" t="str">
        <f>VLOOKUP(F45,姓名檔!$H$3:$I$18,2)</f>
        <v>主日奉獻</v>
      </c>
      <c r="H45" s="10"/>
      <c r="I45" s="10"/>
      <c r="J45" s="135">
        <v>20</v>
      </c>
      <c r="K45" s="10"/>
      <c r="L45" s="11"/>
      <c r="M45" s="92"/>
      <c r="N45" s="92"/>
    </row>
    <row r="46" spans="1:15" x14ac:dyDescent="0.3">
      <c r="A46" s="9">
        <v>46068</v>
      </c>
      <c r="B46" s="10">
        <f t="shared" si="0"/>
        <v>2</v>
      </c>
      <c r="C46" s="10">
        <f t="shared" si="1"/>
        <v>8</v>
      </c>
      <c r="D46" s="10">
        <v>120</v>
      </c>
      <c r="E46" s="10" t="s">
        <v>257</v>
      </c>
      <c r="F46" s="10" t="s">
        <v>15</v>
      </c>
      <c r="G46" s="10" t="str">
        <f>VLOOKUP(F46,姓名檔!$H$3:$I$18,2)</f>
        <v>主日奉獻</v>
      </c>
      <c r="H46" s="10">
        <f>VLOOKUP(D46,姓名檔!$A$2:G$159,5,0)</f>
        <v>0</v>
      </c>
      <c r="I46" s="10"/>
      <c r="J46" s="135">
        <v>7.29</v>
      </c>
      <c r="K46" s="10"/>
      <c r="L46" s="11"/>
      <c r="M46" s="92"/>
      <c r="N46" s="92"/>
    </row>
    <row r="47" spans="1:15" x14ac:dyDescent="0.3">
      <c r="A47" s="9">
        <v>46068</v>
      </c>
      <c r="B47" s="10">
        <f t="shared" si="0"/>
        <v>2</v>
      </c>
      <c r="C47" s="10">
        <f t="shared" si="1"/>
        <v>8</v>
      </c>
      <c r="D47" s="10">
        <v>20</v>
      </c>
      <c r="E47" s="10" t="str">
        <f>VLOOKUP(D47,姓名檔!$A$2:$G$159,4,0)</f>
        <v>不具名</v>
      </c>
      <c r="F47" s="10" t="s">
        <v>15</v>
      </c>
      <c r="G47" s="10" t="str">
        <f>VLOOKUP(F47,姓名檔!$H$3:$I$18,2)</f>
        <v>主日奉獻</v>
      </c>
      <c r="H47" s="10">
        <f>VLOOKUP(D47,姓名檔!$A$2:G$159,5,0)</f>
        <v>0</v>
      </c>
      <c r="I47" s="10"/>
      <c r="J47" s="135">
        <v>311</v>
      </c>
      <c r="K47" s="10"/>
      <c r="L47" s="11"/>
      <c r="M47" s="92"/>
      <c r="N47" s="92"/>
    </row>
    <row r="48" spans="1:15" x14ac:dyDescent="0.3">
      <c r="A48" s="9">
        <v>46068</v>
      </c>
      <c r="B48" s="10">
        <f t="shared" si="0"/>
        <v>2</v>
      </c>
      <c r="C48" s="10">
        <f t="shared" si="1"/>
        <v>8</v>
      </c>
      <c r="D48" s="10">
        <v>8</v>
      </c>
      <c r="E48" s="10" t="str">
        <f>VLOOKUP(D48,姓名檔!$A$2:$G$159,4,0)</f>
        <v>Christopher Liu Pamela Yu Liu</v>
      </c>
      <c r="F48" s="10" t="s">
        <v>15</v>
      </c>
      <c r="G48" s="10" t="str">
        <f>VLOOKUP(F48,姓名檔!$H$3:$I$18,2)</f>
        <v>主日奉獻</v>
      </c>
      <c r="H48" s="10" t="str">
        <f>VLOOKUP(D48,姓名檔!$A$2:G$159,5,0)</f>
        <v>Bank of America</v>
      </c>
      <c r="I48" s="10">
        <v>5528</v>
      </c>
      <c r="J48" s="135">
        <v>200</v>
      </c>
      <c r="K48" s="12"/>
      <c r="L48" s="11"/>
      <c r="M48" s="92"/>
      <c r="N48" s="93"/>
    </row>
    <row r="49" spans="1:14" x14ac:dyDescent="0.3">
      <c r="A49" s="9">
        <v>46068</v>
      </c>
      <c r="B49" s="10">
        <f t="shared" si="0"/>
        <v>2</v>
      </c>
      <c r="C49" s="10">
        <f t="shared" si="1"/>
        <v>8</v>
      </c>
      <c r="D49" s="10">
        <v>41</v>
      </c>
      <c r="E49" s="10" t="str">
        <f>VLOOKUP(D49,姓名檔!$A$2:$G$159,4,0)</f>
        <v>王思旭 Sixu Wang(王悅玲)</v>
      </c>
      <c r="F49" s="10" t="s">
        <v>15</v>
      </c>
      <c r="G49" s="10" t="str">
        <f>VLOOKUP(F49,姓名檔!$H$3:$I$18,2)</f>
        <v>主日奉獻</v>
      </c>
      <c r="H49" s="10" t="str">
        <f>VLOOKUP(D49,姓名檔!$A$2:G$159,5,0)</f>
        <v>Bank of America</v>
      </c>
      <c r="I49" s="10">
        <v>1352</v>
      </c>
      <c r="J49" s="135">
        <v>100</v>
      </c>
      <c r="K49" s="12">
        <v>46070</v>
      </c>
      <c r="L49" s="11">
        <f>SUM(J43:J49)</f>
        <v>838.29</v>
      </c>
      <c r="M49" s="92" t="s">
        <v>264</v>
      </c>
      <c r="N49" s="92"/>
    </row>
    <row r="50" spans="1:14" x14ac:dyDescent="0.3">
      <c r="A50" s="13">
        <v>46075</v>
      </c>
      <c r="B50" s="14">
        <f t="shared" si="0"/>
        <v>2</v>
      </c>
      <c r="C50" s="14">
        <f t="shared" si="1"/>
        <v>9</v>
      </c>
      <c r="D50" s="14">
        <v>18</v>
      </c>
      <c r="E50" s="14" t="str">
        <f>VLOOKUP(D50,姓名檔!$A$2:$G$159,4,0)</f>
        <v>Yan Cheng程雁</v>
      </c>
      <c r="F50" s="14" t="s">
        <v>15</v>
      </c>
      <c r="G50" s="14" t="str">
        <f>VLOOKUP(F50,姓名檔!$H$3:$I$18,2)</f>
        <v>主日奉獻</v>
      </c>
      <c r="H50" s="14"/>
      <c r="I50" s="14"/>
      <c r="J50" s="138">
        <v>100</v>
      </c>
      <c r="K50" s="16"/>
      <c r="L50" s="15"/>
      <c r="M50" s="73"/>
      <c r="N50" s="72"/>
    </row>
    <row r="51" spans="1:14" x14ac:dyDescent="0.3">
      <c r="A51" s="13">
        <v>46075</v>
      </c>
      <c r="B51" s="14">
        <f t="shared" si="0"/>
        <v>2</v>
      </c>
      <c r="C51" s="14">
        <f t="shared" si="1"/>
        <v>9</v>
      </c>
      <c r="D51" s="14">
        <v>20</v>
      </c>
      <c r="E51" s="14" t="str">
        <f>VLOOKUP(D51,姓名檔!$A$2:$G$159,4,0)</f>
        <v>不具名</v>
      </c>
      <c r="F51" s="14" t="s">
        <v>15</v>
      </c>
      <c r="G51" s="14" t="str">
        <f>VLOOKUP(F51,姓名檔!$H$3:$I$18,2)</f>
        <v>主日奉獻</v>
      </c>
      <c r="H51" s="14">
        <f>VLOOKUP(D51,姓名檔!$A$2:G$159,5,0)</f>
        <v>0</v>
      </c>
      <c r="I51" s="14"/>
      <c r="J51" s="138">
        <v>216</v>
      </c>
      <c r="K51" s="16"/>
      <c r="L51" s="15"/>
      <c r="M51" s="72"/>
      <c r="N51" s="72"/>
    </row>
    <row r="52" spans="1:14" x14ac:dyDescent="0.3">
      <c r="A52" s="13">
        <v>46075</v>
      </c>
      <c r="B52" s="14">
        <f t="shared" si="0"/>
        <v>2</v>
      </c>
      <c r="C52" s="14">
        <f t="shared" si="1"/>
        <v>9</v>
      </c>
      <c r="D52" s="14">
        <v>11</v>
      </c>
      <c r="E52" s="14" t="str">
        <f>VLOOKUP(D52,姓名檔!$A$2:$G$159,4,0)</f>
        <v>Yu Mei Feng馮俞梅</v>
      </c>
      <c r="F52" s="14" t="s">
        <v>15</v>
      </c>
      <c r="G52" s="14" t="str">
        <f>VLOOKUP(F52,姓名檔!$H$3:$I$18,2)</f>
        <v>主日奉獻</v>
      </c>
      <c r="H52" s="14" t="str">
        <f>VLOOKUP(D52,姓名檔!$A$2:G$159,5,0)</f>
        <v>Bank of America</v>
      </c>
      <c r="I52" s="14">
        <v>1779</v>
      </c>
      <c r="J52" s="138">
        <v>100</v>
      </c>
      <c r="K52" s="16"/>
      <c r="L52" s="15"/>
      <c r="M52" s="36" t="s">
        <v>265</v>
      </c>
      <c r="N52" s="36"/>
    </row>
    <row r="53" spans="1:14" x14ac:dyDescent="0.3">
      <c r="A53" s="13">
        <v>46075</v>
      </c>
      <c r="B53" s="14">
        <f t="shared" si="0"/>
        <v>2</v>
      </c>
      <c r="C53" s="14">
        <f t="shared" si="1"/>
        <v>9</v>
      </c>
      <c r="D53" s="14">
        <v>41</v>
      </c>
      <c r="E53" s="14" t="str">
        <f>VLOOKUP(D53,姓名檔!$A$2:$G$159,4,0)</f>
        <v>王思旭 Sixu Wang(王悅玲)</v>
      </c>
      <c r="F53" s="14" t="s">
        <v>15</v>
      </c>
      <c r="G53" s="14" t="str">
        <f>VLOOKUP(F53,姓名檔!$H$3:$I$18,2)</f>
        <v>主日奉獻</v>
      </c>
      <c r="H53" s="14" t="str">
        <f>VLOOKUP(D53,姓名檔!$A$2:G$159,5,0)</f>
        <v>Bank of America</v>
      </c>
      <c r="I53" s="14">
        <v>1353</v>
      </c>
      <c r="J53" s="138">
        <v>100</v>
      </c>
      <c r="K53" s="16">
        <v>46078</v>
      </c>
      <c r="L53" s="15">
        <f>SUM(J50:J53)</f>
        <v>516</v>
      </c>
      <c r="M53" s="37">
        <f>SUM(L37:L53)</f>
        <v>3035.29</v>
      </c>
      <c r="N53" s="36" t="s">
        <v>234</v>
      </c>
    </row>
    <row r="54" spans="1:14" x14ac:dyDescent="0.3">
      <c r="A54" s="27">
        <v>46082</v>
      </c>
      <c r="B54" s="28">
        <f t="shared" ref="B54:B68" si="12">MONTH(A54)</f>
        <v>3</v>
      </c>
      <c r="C54" s="28">
        <f t="shared" ref="C54:C63" si="13">WEEKNUM(A54)</f>
        <v>10</v>
      </c>
      <c r="D54" s="28">
        <v>20</v>
      </c>
      <c r="E54" s="28" t="str">
        <f>VLOOKUP(D54,姓名檔!$A$2:$G$159,4,0)</f>
        <v>不具名</v>
      </c>
      <c r="F54" s="28" t="s">
        <v>15</v>
      </c>
      <c r="G54" s="28" t="str">
        <f>VLOOKUP(F54,姓名檔!$H$3:$I$18,2)</f>
        <v>主日奉獻</v>
      </c>
      <c r="H54" s="28">
        <f>VLOOKUP(D54,姓名檔!$A$2:G$159,5,0)</f>
        <v>0</v>
      </c>
      <c r="I54" s="28"/>
      <c r="J54" s="140">
        <v>10</v>
      </c>
      <c r="K54" s="30"/>
      <c r="L54" s="29"/>
      <c r="M54" s="181"/>
      <c r="N54" s="181"/>
    </row>
    <row r="55" spans="1:14" x14ac:dyDescent="0.3">
      <c r="A55" s="27">
        <v>46082</v>
      </c>
      <c r="B55" s="28">
        <f t="shared" ref="B55" si="14">MONTH(A55)</f>
        <v>3</v>
      </c>
      <c r="C55" s="28">
        <f t="shared" ref="C55" si="15">WEEKNUM(A55)</f>
        <v>10</v>
      </c>
      <c r="D55" s="28">
        <v>8</v>
      </c>
      <c r="E55" s="28" t="str">
        <f>VLOOKUP(D55,姓名檔!$A$2:$G$159,4,0)</f>
        <v>Christopher Liu Pamela Yu Liu</v>
      </c>
      <c r="F55" s="28" t="s">
        <v>15</v>
      </c>
      <c r="G55" s="28" t="str">
        <f>VLOOKUP(F55,姓名檔!$H$3:$I$18,2)</f>
        <v>主日奉獻</v>
      </c>
      <c r="H55" s="28" t="str">
        <f>VLOOKUP(D55,姓名檔!$A$2:G$159,5,0)</f>
        <v>Bank of America</v>
      </c>
      <c r="I55" s="28">
        <v>5529</v>
      </c>
      <c r="J55" s="140">
        <v>200</v>
      </c>
      <c r="K55" s="30"/>
      <c r="L55" s="29"/>
      <c r="M55" s="181"/>
      <c r="N55" s="181"/>
    </row>
    <row r="56" spans="1:14" x14ac:dyDescent="0.3">
      <c r="A56" s="27">
        <v>46082</v>
      </c>
      <c r="B56" s="28">
        <f t="shared" si="12"/>
        <v>3</v>
      </c>
      <c r="C56" s="28">
        <f t="shared" si="13"/>
        <v>10</v>
      </c>
      <c r="D56" s="28">
        <v>18</v>
      </c>
      <c r="E56" s="28" t="str">
        <f>VLOOKUP(D56,姓名檔!$A$2:$G$159,4,0)</f>
        <v>Yan Cheng程雁</v>
      </c>
      <c r="F56" s="28" t="s">
        <v>15</v>
      </c>
      <c r="G56" s="28" t="str">
        <f>VLOOKUP(F56,姓名檔!$H$3:$I$18,2)</f>
        <v>主日奉獻</v>
      </c>
      <c r="H56" s="28" t="str">
        <f>VLOOKUP(D56,姓名檔!$A$2:G$159,5,0)</f>
        <v>Bank of America</v>
      </c>
      <c r="I56" s="28">
        <v>454</v>
      </c>
      <c r="J56" s="140">
        <v>500</v>
      </c>
      <c r="K56" s="28"/>
      <c r="L56" s="29"/>
      <c r="M56" s="181"/>
      <c r="N56" s="181"/>
    </row>
    <row r="57" spans="1:14" x14ac:dyDescent="0.3">
      <c r="A57" s="27">
        <v>46082</v>
      </c>
      <c r="B57" s="28">
        <f t="shared" si="12"/>
        <v>3</v>
      </c>
      <c r="C57" s="28">
        <f t="shared" si="13"/>
        <v>10</v>
      </c>
      <c r="D57" s="148" t="s">
        <v>260</v>
      </c>
      <c r="E57" s="28" t="str">
        <f>VLOOKUP(D57,姓名檔!$A$2:$G$159,4,0)</f>
        <v>Hung-Ben David Lo</v>
      </c>
      <c r="F57" s="28" t="s">
        <v>15</v>
      </c>
      <c r="G57" s="28" t="str">
        <f>VLOOKUP(F57,姓名檔!$H$3:$I$18,2)</f>
        <v>主日奉獻</v>
      </c>
      <c r="H57" s="28" t="str">
        <f>VLOOKUP(D57,姓名檔!$A$2:G$159,5,0)</f>
        <v>Bank of America</v>
      </c>
      <c r="I57" s="28">
        <v>2620</v>
      </c>
      <c r="J57" s="140">
        <v>100</v>
      </c>
      <c r="K57" s="30">
        <v>46084</v>
      </c>
      <c r="L57" s="29">
        <f>SUM(J54:J57)</f>
        <v>810</v>
      </c>
      <c r="M57" s="181" t="s">
        <v>287</v>
      </c>
      <c r="N57" s="181"/>
    </row>
    <row r="58" spans="1:14" x14ac:dyDescent="0.3">
      <c r="A58" s="32">
        <v>46089</v>
      </c>
      <c r="B58" s="31">
        <f t="shared" ref="B58" si="16">MONTH(A58)</f>
        <v>3</v>
      </c>
      <c r="C58" s="31">
        <f t="shared" ref="C58" si="17">WEEKNUM(A58)</f>
        <v>11</v>
      </c>
      <c r="D58" s="31">
        <v>9</v>
      </c>
      <c r="E58" s="31" t="str">
        <f>VLOOKUP(D58,姓名檔!$A$2:$G$159,4,0)</f>
        <v>Min Deng鄧敏 Sandy</v>
      </c>
      <c r="F58" s="31" t="s">
        <v>15</v>
      </c>
      <c r="G58" s="31" t="str">
        <f>VLOOKUP(F58,姓名檔!$H$3:$I$18,2)</f>
        <v>主日奉獻</v>
      </c>
      <c r="H58" s="31"/>
      <c r="I58" s="31"/>
      <c r="J58" s="137">
        <v>20</v>
      </c>
      <c r="K58" s="34"/>
      <c r="L58" s="33"/>
      <c r="M58" s="181"/>
      <c r="N58" s="181"/>
    </row>
    <row r="59" spans="1:14" x14ac:dyDescent="0.3">
      <c r="A59" s="32">
        <v>46089</v>
      </c>
      <c r="B59" s="31">
        <f t="shared" si="12"/>
        <v>3</v>
      </c>
      <c r="C59" s="31">
        <f t="shared" si="13"/>
        <v>11</v>
      </c>
      <c r="D59" s="31">
        <v>20</v>
      </c>
      <c r="E59" s="31" t="str">
        <f>VLOOKUP(D59,姓名檔!$A$2:$G$159,4,0)</f>
        <v>不具名</v>
      </c>
      <c r="F59" s="31" t="s">
        <v>15</v>
      </c>
      <c r="G59" s="31" t="str">
        <f>VLOOKUP(F59,姓名檔!$H$3:$I$18,2)</f>
        <v>主日奉獻</v>
      </c>
      <c r="H59" s="31">
        <f>VLOOKUP(D59,姓名檔!$A$2:G$159,5,0)</f>
        <v>0</v>
      </c>
      <c r="I59" s="31"/>
      <c r="J59" s="137">
        <v>28</v>
      </c>
      <c r="K59" s="34"/>
      <c r="L59" s="33"/>
      <c r="M59" s="181"/>
      <c r="N59" s="181"/>
    </row>
    <row r="60" spans="1:14" x14ac:dyDescent="0.3">
      <c r="A60" s="32">
        <v>46089</v>
      </c>
      <c r="B60" s="31">
        <f t="shared" si="12"/>
        <v>3</v>
      </c>
      <c r="C60" s="31">
        <f t="shared" si="13"/>
        <v>11</v>
      </c>
      <c r="D60" s="31">
        <v>13</v>
      </c>
      <c r="E60" s="31" t="str">
        <f>VLOOKUP(D60,姓名檔!$A$2:$G$159,4,0)</f>
        <v>Ed &amp;Allison Lee</v>
      </c>
      <c r="F60" s="31" t="s">
        <v>15</v>
      </c>
      <c r="G60" s="31" t="str">
        <f>VLOOKUP(F60,姓名檔!$H$3:$I$18,2)</f>
        <v>主日奉獻</v>
      </c>
      <c r="H60" s="31" t="str">
        <f>VLOOKUP(D60,姓名檔!$A$2:G$159,5,0)</f>
        <v>US Bank</v>
      </c>
      <c r="I60" s="31">
        <v>9822</v>
      </c>
      <c r="J60" s="137">
        <v>200</v>
      </c>
      <c r="K60" s="31"/>
      <c r="L60" s="33"/>
      <c r="M60" s="181"/>
      <c r="N60" s="181"/>
    </row>
    <row r="61" spans="1:14" x14ac:dyDescent="0.3">
      <c r="A61" s="32">
        <v>46089</v>
      </c>
      <c r="B61" s="31">
        <f t="shared" si="12"/>
        <v>3</v>
      </c>
      <c r="C61" s="31">
        <f t="shared" si="13"/>
        <v>11</v>
      </c>
      <c r="D61" s="31">
        <v>8</v>
      </c>
      <c r="E61" s="31" t="str">
        <f>VLOOKUP(D61,姓名檔!$A$2:$G$159,4,0)</f>
        <v>Christopher Liu Pamela Yu Liu</v>
      </c>
      <c r="F61" s="31" t="s">
        <v>15</v>
      </c>
      <c r="G61" s="31" t="str">
        <f>VLOOKUP(F61,姓名檔!$H$3:$I$18,2)</f>
        <v>主日奉獻</v>
      </c>
      <c r="H61" s="31" t="str">
        <f>VLOOKUP(D61,姓名檔!$A$2:G$159,5,0)</f>
        <v>Bank of America</v>
      </c>
      <c r="I61" s="31">
        <v>5530</v>
      </c>
      <c r="J61" s="137">
        <v>200</v>
      </c>
      <c r="K61" s="31"/>
      <c r="L61" s="33"/>
      <c r="M61" s="181"/>
      <c r="N61" s="181"/>
    </row>
    <row r="62" spans="1:14" x14ac:dyDescent="0.3">
      <c r="A62" s="32">
        <v>46089</v>
      </c>
      <c r="B62" s="31">
        <f t="shared" si="12"/>
        <v>3</v>
      </c>
      <c r="C62" s="31">
        <f t="shared" si="13"/>
        <v>11</v>
      </c>
      <c r="D62" s="31">
        <v>120</v>
      </c>
      <c r="E62" s="89" t="s">
        <v>262</v>
      </c>
      <c r="F62" s="31" t="s">
        <v>15</v>
      </c>
      <c r="G62" s="31" t="str">
        <f>VLOOKUP(F62,姓名檔!$H$3:$I$18,2)</f>
        <v>主日奉獻</v>
      </c>
      <c r="H62" s="31" t="s">
        <v>261</v>
      </c>
      <c r="I62" s="31">
        <v>144</v>
      </c>
      <c r="J62" s="137">
        <v>120</v>
      </c>
      <c r="K62" s="34"/>
      <c r="L62" s="33"/>
      <c r="M62" s="181"/>
      <c r="N62" s="182"/>
    </row>
    <row r="63" spans="1:14" x14ac:dyDescent="0.3">
      <c r="A63" s="32">
        <v>46089</v>
      </c>
      <c r="B63" s="31">
        <f t="shared" si="12"/>
        <v>3</v>
      </c>
      <c r="C63" s="31">
        <f t="shared" si="13"/>
        <v>11</v>
      </c>
      <c r="D63" s="31">
        <v>41</v>
      </c>
      <c r="E63" s="31" t="str">
        <f>VLOOKUP(D63,姓名檔!$A$2:$G$159,4,0)</f>
        <v>王思旭 Sixu Wang(王悅玲)</v>
      </c>
      <c r="F63" s="31" t="s">
        <v>15</v>
      </c>
      <c r="G63" s="31" t="str">
        <f>VLOOKUP(F63,姓名檔!$H$3:$I$18,2)</f>
        <v>主日奉獻</v>
      </c>
      <c r="H63" s="31" t="str">
        <f>VLOOKUP(D63,姓名檔!$A$2:G$159,5,0)</f>
        <v>Bank of America</v>
      </c>
      <c r="I63" s="31">
        <v>1354</v>
      </c>
      <c r="J63" s="137">
        <v>100</v>
      </c>
      <c r="K63" s="31"/>
      <c r="L63" s="33"/>
      <c r="M63" s="181"/>
      <c r="N63" s="181"/>
    </row>
    <row r="64" spans="1:14" x14ac:dyDescent="0.3">
      <c r="A64" s="32">
        <v>46089</v>
      </c>
      <c r="B64" s="31">
        <f t="shared" si="12"/>
        <v>3</v>
      </c>
      <c r="C64" s="31">
        <f>WEEKNUM(A64)</f>
        <v>11</v>
      </c>
      <c r="D64" s="31">
        <v>41</v>
      </c>
      <c r="E64" s="31" t="str">
        <f>VLOOKUP(D64,姓名檔!$A$2:$G$159,4,0)</f>
        <v>王思旭 Sixu Wang(王悅玲)</v>
      </c>
      <c r="F64" s="31" t="s">
        <v>15</v>
      </c>
      <c r="G64" s="31" t="str">
        <f>VLOOKUP(F64,姓名檔!$H$3:$I$18,2)</f>
        <v>主日奉獻</v>
      </c>
      <c r="H64" s="31" t="str">
        <f>VLOOKUP(D64,姓名檔!$A$2:G$159,5,0)</f>
        <v>Bank of America</v>
      </c>
      <c r="I64" s="31">
        <v>1355</v>
      </c>
      <c r="J64" s="137">
        <v>100</v>
      </c>
      <c r="K64" s="34">
        <v>46092</v>
      </c>
      <c r="L64" s="33">
        <f>SUM(J58:J64)</f>
        <v>768</v>
      </c>
      <c r="M64" s="181" t="s">
        <v>288</v>
      </c>
      <c r="N64" s="181"/>
    </row>
    <row r="65" spans="1:14" x14ac:dyDescent="0.3">
      <c r="A65" s="9">
        <v>46096</v>
      </c>
      <c r="B65" s="10">
        <f t="shared" si="12"/>
        <v>3</v>
      </c>
      <c r="C65" s="10">
        <f t="shared" ref="C65:C130" si="18">WEEKNUM(A65)</f>
        <v>12</v>
      </c>
      <c r="D65" s="10">
        <v>12</v>
      </c>
      <c r="E65" s="10" t="str">
        <f>VLOOKUP(D65,姓名檔!$A$2:$G$159,4,0)</f>
        <v>Yu Hui Zhao趙宇輝 Yu Fei</v>
      </c>
      <c r="F65" s="10" t="s">
        <v>15</v>
      </c>
      <c r="G65" s="10" t="str">
        <f>VLOOKUP(F65,姓名檔!$H$3:$I$18,2)</f>
        <v>主日奉獻</v>
      </c>
      <c r="H65" s="10"/>
      <c r="I65" s="10"/>
      <c r="J65" s="135">
        <v>100</v>
      </c>
      <c r="K65" s="12"/>
      <c r="L65" s="11"/>
      <c r="M65" s="181"/>
      <c r="N65" s="181"/>
    </row>
    <row r="66" spans="1:14" x14ac:dyDescent="0.3">
      <c r="A66" s="9">
        <v>46096</v>
      </c>
      <c r="B66" s="10">
        <f t="shared" si="12"/>
        <v>3</v>
      </c>
      <c r="C66" s="10">
        <f t="shared" si="18"/>
        <v>12</v>
      </c>
      <c r="D66" s="160" t="s">
        <v>270</v>
      </c>
      <c r="E66" s="10" t="str">
        <f>VLOOKUP(D66,姓名檔!$A$2:$G$159,4,0)</f>
        <v>劉珈因Lau Ka Yan(Renee)</v>
      </c>
      <c r="F66" s="10" t="s">
        <v>15</v>
      </c>
      <c r="G66" s="10" t="str">
        <f>VLOOKUP(F66,姓名檔!$H$3:$I$18,2)</f>
        <v>主日奉獻</v>
      </c>
      <c r="H66" s="10">
        <f>VLOOKUP(D66,姓名檔!$A$2:G$159,5,0)</f>
        <v>0</v>
      </c>
      <c r="I66" s="10"/>
      <c r="J66" s="135">
        <v>100</v>
      </c>
      <c r="K66" s="12"/>
      <c r="L66" s="11"/>
      <c r="M66" s="181"/>
      <c r="N66" s="181"/>
    </row>
    <row r="67" spans="1:14" x14ac:dyDescent="0.3">
      <c r="A67" s="9">
        <v>46096</v>
      </c>
      <c r="B67" s="10">
        <f t="shared" si="12"/>
        <v>3</v>
      </c>
      <c r="C67" s="10">
        <f t="shared" si="18"/>
        <v>12</v>
      </c>
      <c r="D67" s="10">
        <v>45</v>
      </c>
      <c r="E67" s="10" t="str">
        <f>VLOOKUP(D67,姓名檔!$A$2:$G$159,4,0)</f>
        <v>Dong Fang Li李東方</v>
      </c>
      <c r="F67" s="10" t="s">
        <v>15</v>
      </c>
      <c r="G67" s="10" t="str">
        <f>VLOOKUP(F67,姓名檔!$H$3:$I$18,2)</f>
        <v>主日奉獻</v>
      </c>
      <c r="H67" s="10">
        <f>VLOOKUP(D67,姓名檔!$A$2:G$159,5,0)</f>
        <v>0</v>
      </c>
      <c r="I67" s="10"/>
      <c r="J67" s="135">
        <v>9</v>
      </c>
      <c r="K67" s="12"/>
      <c r="L67" s="11"/>
      <c r="M67" s="181"/>
      <c r="N67" s="181"/>
    </row>
    <row r="68" spans="1:14" x14ac:dyDescent="0.3">
      <c r="A68" s="9">
        <v>46096</v>
      </c>
      <c r="B68" s="10">
        <f t="shared" si="12"/>
        <v>3</v>
      </c>
      <c r="C68" s="10">
        <f t="shared" si="18"/>
        <v>12</v>
      </c>
      <c r="D68" s="10">
        <v>2</v>
      </c>
      <c r="E68" s="10" t="str">
        <f>VLOOKUP(D68,姓名檔!$A$2:$G$159,4,0)</f>
        <v>喬阿姨Yen Pin Liu Chiao</v>
      </c>
      <c r="F68" s="10" t="s">
        <v>15</v>
      </c>
      <c r="G68" s="10" t="str">
        <f>VLOOKUP(F68,姓名檔!$H$3:$I$18,2)</f>
        <v>主日奉獻</v>
      </c>
      <c r="H68" s="10"/>
      <c r="I68" s="10"/>
      <c r="J68" s="135">
        <v>500</v>
      </c>
      <c r="K68" s="12"/>
      <c r="L68" s="11"/>
      <c r="M68" s="181"/>
      <c r="N68" s="181"/>
    </row>
    <row r="69" spans="1:14" x14ac:dyDescent="0.3">
      <c r="A69" s="9">
        <v>46096</v>
      </c>
      <c r="B69" s="10">
        <f>MONTH(A69)</f>
        <v>3</v>
      </c>
      <c r="C69" s="10">
        <f t="shared" si="18"/>
        <v>12</v>
      </c>
      <c r="D69" s="10">
        <v>25</v>
      </c>
      <c r="E69" s="10" t="str">
        <f>VLOOKUP(D69,姓名檔!$A$2:$G$159,4,0)</f>
        <v>胡穎Hu Ying</v>
      </c>
      <c r="F69" s="10" t="s">
        <v>15</v>
      </c>
      <c r="G69" s="10" t="str">
        <f>VLOOKUP(F69,姓名檔!$H$3:$I$18,2)</f>
        <v>主日奉獻</v>
      </c>
      <c r="H69" s="10"/>
      <c r="I69" s="10"/>
      <c r="J69" s="135">
        <v>200</v>
      </c>
      <c r="K69" s="12"/>
      <c r="L69" s="11"/>
      <c r="M69" s="181"/>
      <c r="N69" s="181"/>
    </row>
    <row r="70" spans="1:14" x14ac:dyDescent="0.3">
      <c r="A70" s="9">
        <v>46096</v>
      </c>
      <c r="B70" s="10">
        <f t="shared" ref="B70:B73" si="19">MONTH(A70)</f>
        <v>3</v>
      </c>
      <c r="C70" s="10">
        <f t="shared" si="18"/>
        <v>12</v>
      </c>
      <c r="D70" s="10">
        <v>18</v>
      </c>
      <c r="E70" s="10" t="str">
        <f>VLOOKUP(D70,姓名檔!$A$2:$G$159,4,0)</f>
        <v>Yan Cheng程雁</v>
      </c>
      <c r="F70" s="10" t="s">
        <v>15</v>
      </c>
      <c r="G70" s="10" t="str">
        <f>VLOOKUP(F70,姓名檔!$H$3:$I$18,2)</f>
        <v>主日奉獻</v>
      </c>
      <c r="H70" s="10"/>
      <c r="I70" s="10"/>
      <c r="J70" s="135">
        <v>300</v>
      </c>
      <c r="K70" s="12"/>
      <c r="L70" s="11"/>
      <c r="M70" s="181"/>
      <c r="N70" s="181"/>
    </row>
    <row r="71" spans="1:14" x14ac:dyDescent="0.3">
      <c r="A71" s="9">
        <v>46096</v>
      </c>
      <c r="B71" s="10">
        <f t="shared" si="19"/>
        <v>3</v>
      </c>
      <c r="C71" s="10">
        <f t="shared" si="18"/>
        <v>12</v>
      </c>
      <c r="D71" s="10">
        <v>46</v>
      </c>
      <c r="E71" s="10" t="str">
        <f>VLOOKUP(D71,姓名檔!$A$2:$G$159,4,0)</f>
        <v>Liya Xia</v>
      </c>
      <c r="F71" s="10" t="s">
        <v>15</v>
      </c>
      <c r="G71" s="10" t="str">
        <f>VLOOKUP(F71,姓名檔!$H$3:$I$18,2)</f>
        <v>主日奉獻</v>
      </c>
      <c r="H71" s="10">
        <f>VLOOKUP(D71,姓名檔!$A$2:G$159,5,0)</f>
        <v>0</v>
      </c>
      <c r="I71" s="10"/>
      <c r="J71" s="135">
        <v>100</v>
      </c>
      <c r="K71" s="12"/>
      <c r="L71" s="11"/>
      <c r="M71" s="181"/>
      <c r="N71" s="181"/>
    </row>
    <row r="72" spans="1:14" x14ac:dyDescent="0.3">
      <c r="A72" s="9">
        <v>46097</v>
      </c>
      <c r="B72" s="10">
        <f t="shared" ref="B72" si="20">MONTH(A72)</f>
        <v>3</v>
      </c>
      <c r="C72" s="10">
        <f t="shared" ref="C72" si="21">WEEKNUM(A72)</f>
        <v>12</v>
      </c>
      <c r="D72" s="10">
        <v>9</v>
      </c>
      <c r="E72" s="10" t="str">
        <f>VLOOKUP(D72,姓名檔!$A$2:$G$159,4,0)</f>
        <v>Min Deng鄧敏 Sandy</v>
      </c>
      <c r="F72" s="10" t="s">
        <v>15</v>
      </c>
      <c r="G72" s="10" t="str">
        <f>VLOOKUP(F72,姓名檔!$H$3:$I$18,2)</f>
        <v>主日奉獻</v>
      </c>
      <c r="H72" s="10"/>
      <c r="I72" s="10"/>
      <c r="J72" s="135">
        <v>20</v>
      </c>
      <c r="K72" s="12"/>
      <c r="L72" s="11"/>
      <c r="M72" s="181"/>
      <c r="N72" s="181"/>
    </row>
    <row r="73" spans="1:14" x14ac:dyDescent="0.3">
      <c r="A73" s="9">
        <v>46096</v>
      </c>
      <c r="B73" s="10">
        <f t="shared" si="19"/>
        <v>3</v>
      </c>
      <c r="C73" s="10">
        <f t="shared" si="18"/>
        <v>12</v>
      </c>
      <c r="D73" s="10">
        <v>20</v>
      </c>
      <c r="E73" s="10" t="str">
        <f>VLOOKUP(D73,姓名檔!$A$2:$G$159,4,0)</f>
        <v>不具名</v>
      </c>
      <c r="F73" s="10" t="s">
        <v>15</v>
      </c>
      <c r="G73" s="10" t="str">
        <f>VLOOKUP(F73,姓名檔!$H$3:$I$18,2)</f>
        <v>主日奉獻</v>
      </c>
      <c r="H73" s="10">
        <f>VLOOKUP(D73,姓名檔!$A$2:G$159,5,0)</f>
        <v>0</v>
      </c>
      <c r="I73" s="10"/>
      <c r="J73" s="135">
        <v>65</v>
      </c>
      <c r="K73" s="12"/>
      <c r="L73" s="11"/>
      <c r="M73" s="181"/>
      <c r="N73" s="181"/>
    </row>
    <row r="74" spans="1:14" x14ac:dyDescent="0.3">
      <c r="A74" s="9">
        <v>46096</v>
      </c>
      <c r="B74" s="10">
        <f>MONTH(A74)</f>
        <v>3</v>
      </c>
      <c r="C74" s="10">
        <f t="shared" si="18"/>
        <v>12</v>
      </c>
      <c r="D74" s="10">
        <v>7</v>
      </c>
      <c r="E74" s="10" t="str">
        <f>VLOOKUP(D74,姓名檔!$A$2:$G$159,4,0)</f>
        <v>林敏雄Mr.&amp;Mrs. Min-Shyong Lin</v>
      </c>
      <c r="F74" s="10" t="s">
        <v>15</v>
      </c>
      <c r="G74" s="10" t="str">
        <f>VLOOKUP(F74,姓名檔!$H$3:$I$18,2)</f>
        <v>主日奉獻</v>
      </c>
      <c r="H74" s="10" t="str">
        <f>VLOOKUP(D74,姓名檔!$A$2:G$159,5,0)</f>
        <v>Fidelity</v>
      </c>
      <c r="I74" s="10">
        <v>16389092</v>
      </c>
      <c r="J74" s="135">
        <v>1000</v>
      </c>
      <c r="K74" s="12"/>
      <c r="L74" s="11"/>
      <c r="M74" s="181"/>
      <c r="N74" s="181"/>
    </row>
    <row r="75" spans="1:14" x14ac:dyDescent="0.3">
      <c r="A75" s="9">
        <v>46096</v>
      </c>
      <c r="B75" s="10">
        <f t="shared" ref="B75:B78" si="22">MONTH(A75)</f>
        <v>3</v>
      </c>
      <c r="C75" s="10">
        <f t="shared" si="18"/>
        <v>12</v>
      </c>
      <c r="D75" s="10">
        <v>47</v>
      </c>
      <c r="E75" s="10" t="str">
        <f>VLOOKUP(D75,姓名檔!$A$2:$G$159,4,0)</f>
        <v>Hong Wang王宏</v>
      </c>
      <c r="F75" s="10" t="s">
        <v>15</v>
      </c>
      <c r="G75" s="10" t="str">
        <f>VLOOKUP(F75,姓名檔!$H$3:$I$18,2)</f>
        <v>主日奉獻</v>
      </c>
      <c r="H75" s="10" t="s">
        <v>271</v>
      </c>
      <c r="I75" s="10">
        <v>3087</v>
      </c>
      <c r="J75" s="135">
        <v>200</v>
      </c>
      <c r="K75" s="12"/>
      <c r="L75" s="11"/>
      <c r="M75" s="181"/>
      <c r="N75" s="181"/>
    </row>
    <row r="76" spans="1:14" x14ac:dyDescent="0.3">
      <c r="A76" s="9">
        <v>46096</v>
      </c>
      <c r="B76" s="10">
        <f t="shared" si="22"/>
        <v>3</v>
      </c>
      <c r="C76" s="10">
        <f t="shared" si="18"/>
        <v>12</v>
      </c>
      <c r="D76" s="10">
        <v>11</v>
      </c>
      <c r="E76" s="10" t="str">
        <f>VLOOKUP(D76,姓名檔!$A$2:$G$159,4,0)</f>
        <v>Yu Mei Feng馮俞梅</v>
      </c>
      <c r="F76" s="10" t="s">
        <v>15</v>
      </c>
      <c r="G76" s="10" t="str">
        <f>VLOOKUP(F76,姓名檔!$H$3:$I$18,2)</f>
        <v>主日奉獻</v>
      </c>
      <c r="H76" s="10" t="str">
        <f>VLOOKUP(D76,姓名檔!$A$2:G$159,5,0)</f>
        <v>Bank of America</v>
      </c>
      <c r="I76" s="10">
        <v>1780</v>
      </c>
      <c r="J76" s="135">
        <v>200</v>
      </c>
      <c r="K76" s="12"/>
      <c r="L76" s="11"/>
      <c r="M76" s="181"/>
      <c r="N76" s="181"/>
    </row>
    <row r="77" spans="1:14" x14ac:dyDescent="0.3">
      <c r="A77" s="9">
        <v>46096</v>
      </c>
      <c r="B77" s="10">
        <f t="shared" si="22"/>
        <v>3</v>
      </c>
      <c r="C77" s="10">
        <f t="shared" si="18"/>
        <v>12</v>
      </c>
      <c r="D77" s="10">
        <v>8</v>
      </c>
      <c r="E77" s="10" t="str">
        <f>VLOOKUP(D77,姓名檔!$A$2:$G$159,4,0)</f>
        <v>Christopher Liu Pamela Yu Liu</v>
      </c>
      <c r="F77" s="10" t="s">
        <v>15</v>
      </c>
      <c r="G77" s="10" t="str">
        <f>VLOOKUP(F77,姓名檔!$H$3:$I$18,2)</f>
        <v>主日奉獻</v>
      </c>
      <c r="H77" s="10" t="str">
        <f>VLOOKUP(D77,姓名檔!$A$2:G$159,5,0)</f>
        <v>Bank of America</v>
      </c>
      <c r="I77" s="10">
        <v>5531</v>
      </c>
      <c r="J77" s="135">
        <v>200</v>
      </c>
      <c r="K77" s="12">
        <v>46098</v>
      </c>
      <c r="L77" s="11">
        <f>SUM(J65:J77)</f>
        <v>2994</v>
      </c>
      <c r="M77" s="181" t="s">
        <v>288</v>
      </c>
      <c r="N77" s="181"/>
    </row>
    <row r="78" spans="1:14" x14ac:dyDescent="0.3">
      <c r="A78" s="27">
        <v>46103</v>
      </c>
      <c r="B78" s="28">
        <f t="shared" si="22"/>
        <v>3</v>
      </c>
      <c r="C78" s="28">
        <f t="shared" si="18"/>
        <v>13</v>
      </c>
      <c r="D78" s="148" t="s">
        <v>273</v>
      </c>
      <c r="E78" s="28" t="str">
        <f>VLOOKUP(D78,姓名檔!$A$2:$G$159,4,0)</f>
        <v>劉珈因Lau Ka Yan(Renee)</v>
      </c>
      <c r="F78" s="28" t="s">
        <v>15</v>
      </c>
      <c r="G78" s="28" t="str">
        <f>VLOOKUP(F78,姓名檔!$H$3:$I$18,2)</f>
        <v>主日奉獻</v>
      </c>
      <c r="H78" s="28">
        <f>VLOOKUP(D78,姓名檔!$A$2:G$159,5,0)</f>
        <v>0</v>
      </c>
      <c r="I78" s="28"/>
      <c r="J78" s="140">
        <v>100</v>
      </c>
      <c r="K78" s="30"/>
      <c r="L78" s="30"/>
      <c r="M78" s="182"/>
      <c r="N78" s="181"/>
    </row>
    <row r="79" spans="1:14" x14ac:dyDescent="0.3">
      <c r="A79" s="27">
        <v>46103</v>
      </c>
      <c r="B79" s="28">
        <f>MONTH(A79)</f>
        <v>3</v>
      </c>
      <c r="C79" s="28">
        <f t="shared" si="18"/>
        <v>13</v>
      </c>
      <c r="D79" s="28">
        <v>20</v>
      </c>
      <c r="E79" s="28" t="str">
        <f>VLOOKUP(D79,姓名檔!$A$2:$G$159,4,0)</f>
        <v>不具名</v>
      </c>
      <c r="F79" s="28" t="s">
        <v>15</v>
      </c>
      <c r="G79" s="28" t="str">
        <f>VLOOKUP(F79,姓名檔!$H$3:$I$18,2)</f>
        <v>主日奉獻</v>
      </c>
      <c r="H79" s="28">
        <f>VLOOKUP(D79,姓名檔!$A$2:G$159,5,0)</f>
        <v>0</v>
      </c>
      <c r="I79" s="28"/>
      <c r="J79" s="140">
        <v>108</v>
      </c>
      <c r="K79" s="30"/>
      <c r="L79" s="30"/>
      <c r="M79" s="181"/>
      <c r="N79" s="181"/>
    </row>
    <row r="80" spans="1:14" x14ac:dyDescent="0.3">
      <c r="A80" s="27">
        <v>46103</v>
      </c>
      <c r="B80" s="28">
        <f t="shared" ref="B80:B145" si="23">MONTH(A80)</f>
        <v>3</v>
      </c>
      <c r="C80" s="28">
        <f t="shared" si="18"/>
        <v>13</v>
      </c>
      <c r="D80" s="28">
        <v>47</v>
      </c>
      <c r="E80" s="28" t="str">
        <f>VLOOKUP(D80,姓名檔!$A$2:$G$159,4,0)</f>
        <v>Hong Wang王宏</v>
      </c>
      <c r="F80" s="28" t="s">
        <v>15</v>
      </c>
      <c r="G80" s="28" t="str">
        <f>VLOOKUP(F80,姓名檔!$H$3:$I$18,2)</f>
        <v>主日奉獻</v>
      </c>
      <c r="H80" s="28" t="s">
        <v>274</v>
      </c>
      <c r="I80" s="28">
        <v>3088</v>
      </c>
      <c r="J80" s="140">
        <v>200</v>
      </c>
      <c r="K80" s="30"/>
      <c r="L80" s="30"/>
      <c r="M80" s="181"/>
      <c r="N80" s="181"/>
    </row>
    <row r="81" spans="1:14" x14ac:dyDescent="0.3">
      <c r="A81" s="27">
        <v>46103</v>
      </c>
      <c r="B81" s="28">
        <f t="shared" si="23"/>
        <v>3</v>
      </c>
      <c r="C81" s="28">
        <f t="shared" si="18"/>
        <v>13</v>
      </c>
      <c r="D81" s="28">
        <v>8</v>
      </c>
      <c r="E81" s="28" t="str">
        <f>VLOOKUP(D81,姓名檔!$A$2:$G$159,4,0)</f>
        <v>Christopher Liu Pamela Yu Liu</v>
      </c>
      <c r="F81" s="28" t="s">
        <v>15</v>
      </c>
      <c r="G81" s="28" t="str">
        <f>VLOOKUP(F81,姓名檔!$H$3:$I$18,2)</f>
        <v>主日奉獻</v>
      </c>
      <c r="H81" s="28" t="str">
        <f>VLOOKUP(D81,姓名檔!$A$2:G$159,5,0)</f>
        <v>Bank of America</v>
      </c>
      <c r="I81" s="28">
        <v>5533</v>
      </c>
      <c r="J81" s="140">
        <v>200</v>
      </c>
      <c r="K81" s="30">
        <v>46108</v>
      </c>
      <c r="L81" s="177">
        <f>SUM(J78:J81)</f>
        <v>608</v>
      </c>
      <c r="M81" s="182" t="s">
        <v>287</v>
      </c>
      <c r="N81" s="181"/>
    </row>
    <row r="82" spans="1:14" x14ac:dyDescent="0.3">
      <c r="A82" s="32">
        <v>46110</v>
      </c>
      <c r="B82" s="31">
        <f t="shared" si="23"/>
        <v>3</v>
      </c>
      <c r="C82" s="31">
        <f t="shared" si="18"/>
        <v>14</v>
      </c>
      <c r="D82" s="31">
        <v>9</v>
      </c>
      <c r="E82" s="31" t="str">
        <f>VLOOKUP(D82,姓名檔!$A$2:$G$159,4,0)</f>
        <v>Min Deng鄧敏 Sandy</v>
      </c>
      <c r="F82" s="31" t="s">
        <v>15</v>
      </c>
      <c r="G82" s="31" t="str">
        <f>VLOOKUP(F82,姓名檔!$H$3:$I$18,2)</f>
        <v>主日奉獻</v>
      </c>
      <c r="H82" s="31"/>
      <c r="I82" s="31"/>
      <c r="J82" s="137">
        <v>20</v>
      </c>
      <c r="K82" s="34"/>
      <c r="L82" s="33"/>
      <c r="M82" s="181"/>
      <c r="N82" s="181"/>
    </row>
    <row r="83" spans="1:14" x14ac:dyDescent="0.3">
      <c r="A83" s="32">
        <v>46110</v>
      </c>
      <c r="B83" s="31">
        <f t="shared" si="23"/>
        <v>3</v>
      </c>
      <c r="C83" s="31">
        <f t="shared" si="18"/>
        <v>14</v>
      </c>
      <c r="D83" s="31">
        <v>2</v>
      </c>
      <c r="E83" s="31" t="str">
        <f>VLOOKUP(D83,姓名檔!$A$2:$G$159,4,0)</f>
        <v>喬阿姨Yen Pin Liu Chiao</v>
      </c>
      <c r="F83" s="31" t="s">
        <v>15</v>
      </c>
      <c r="G83" s="31" t="str">
        <f>VLOOKUP(F83,姓名檔!$H$3:$I$18,2)</f>
        <v>主日奉獻</v>
      </c>
      <c r="H83" s="31"/>
      <c r="I83" s="31"/>
      <c r="J83" s="137">
        <v>100</v>
      </c>
      <c r="K83" s="34"/>
      <c r="L83" s="33"/>
      <c r="M83" s="181"/>
      <c r="N83" s="181"/>
    </row>
    <row r="84" spans="1:14" x14ac:dyDescent="0.3">
      <c r="A84" s="32">
        <v>46110</v>
      </c>
      <c r="B84" s="31">
        <f t="shared" si="23"/>
        <v>3</v>
      </c>
      <c r="C84" s="31">
        <f t="shared" si="18"/>
        <v>14</v>
      </c>
      <c r="D84" s="31">
        <v>46</v>
      </c>
      <c r="E84" s="31" t="str">
        <f>VLOOKUP(D84,姓名檔!$A$2:$G$159,4,0)</f>
        <v>Liya Xia</v>
      </c>
      <c r="F84" s="31" t="s">
        <v>15</v>
      </c>
      <c r="G84" s="31" t="str">
        <f>VLOOKUP(F84,姓名檔!$H$3:$I$18,2)</f>
        <v>主日奉獻</v>
      </c>
      <c r="H84" s="31">
        <f>VLOOKUP(D84,姓名檔!$A$2:G$159,5,0)</f>
        <v>0</v>
      </c>
      <c r="I84" s="31"/>
      <c r="J84" s="137">
        <v>100</v>
      </c>
      <c r="K84" s="34"/>
      <c r="L84" s="33"/>
      <c r="M84" s="181"/>
      <c r="N84" s="181"/>
    </row>
    <row r="85" spans="1:14" x14ac:dyDescent="0.3">
      <c r="A85" s="32">
        <v>46110</v>
      </c>
      <c r="B85" s="31">
        <f t="shared" si="23"/>
        <v>3</v>
      </c>
      <c r="C85" s="31">
        <f t="shared" si="18"/>
        <v>14</v>
      </c>
      <c r="D85" s="31">
        <v>20</v>
      </c>
      <c r="E85" s="31" t="str">
        <f>VLOOKUP(D85,姓名檔!$A$2:$G$159,4,0)</f>
        <v>不具名</v>
      </c>
      <c r="F85" s="31" t="s">
        <v>15</v>
      </c>
      <c r="G85" s="31" t="str">
        <f>VLOOKUP(F85,姓名檔!$H$3:$I$18,2)</f>
        <v>主日奉獻</v>
      </c>
      <c r="H85" s="31">
        <f>VLOOKUP(D85,姓名檔!$A$2:G$159,5,0)</f>
        <v>0</v>
      </c>
      <c r="I85" s="31"/>
      <c r="J85" s="137">
        <v>29</v>
      </c>
      <c r="K85" s="31"/>
      <c r="L85" s="33"/>
      <c r="M85" s="181"/>
      <c r="N85" s="181"/>
    </row>
    <row r="86" spans="1:14" x14ac:dyDescent="0.3">
      <c r="A86" s="32">
        <v>46110</v>
      </c>
      <c r="B86" s="31">
        <f t="shared" si="23"/>
        <v>3</v>
      </c>
      <c r="C86" s="31">
        <f t="shared" si="18"/>
        <v>14</v>
      </c>
      <c r="D86" s="31">
        <v>8</v>
      </c>
      <c r="E86" s="31" t="str">
        <f>VLOOKUP(D86,姓名檔!$A$2:$G$159,4,0)</f>
        <v>Christopher Liu Pamela Yu Liu</v>
      </c>
      <c r="F86" s="31" t="s">
        <v>15</v>
      </c>
      <c r="G86" s="31" t="str">
        <f>VLOOKUP(F86,姓名檔!$H$3:$I$18,2)</f>
        <v>主日奉獻</v>
      </c>
      <c r="H86" s="31" t="str">
        <f>VLOOKUP(D86,姓名檔!$A$2:G$159,5,0)</f>
        <v>Bank of America</v>
      </c>
      <c r="I86" s="31">
        <v>5532</v>
      </c>
      <c r="J86" s="137">
        <v>200</v>
      </c>
      <c r="K86" s="31"/>
      <c r="L86" s="33"/>
      <c r="M86" s="181"/>
      <c r="N86" s="181"/>
    </row>
    <row r="87" spans="1:14" x14ac:dyDescent="0.3">
      <c r="A87" s="32">
        <v>46110</v>
      </c>
      <c r="B87" s="31">
        <f t="shared" si="23"/>
        <v>3</v>
      </c>
      <c r="C87" s="31">
        <f t="shared" si="18"/>
        <v>14</v>
      </c>
      <c r="D87" s="31">
        <v>13</v>
      </c>
      <c r="E87" s="31" t="str">
        <f>VLOOKUP(D87,姓名檔!$A$2:$G$159,4,0)</f>
        <v>Ed &amp;Allison Lee</v>
      </c>
      <c r="F87" s="31" t="s">
        <v>15</v>
      </c>
      <c r="G87" s="31" t="str">
        <f>VLOOKUP(F87,姓名檔!$H$3:$I$18,2)</f>
        <v>主日奉獻</v>
      </c>
      <c r="H87" s="31" t="str">
        <f>VLOOKUP(D87,姓名檔!$A$2:G$159,5,0)</f>
        <v>US Bank</v>
      </c>
      <c r="I87" s="31">
        <v>9824</v>
      </c>
      <c r="J87" s="137">
        <v>200</v>
      </c>
      <c r="K87" s="31"/>
      <c r="L87" s="33"/>
      <c r="M87" s="181"/>
      <c r="N87" s="181"/>
    </row>
    <row r="88" spans="1:14" x14ac:dyDescent="0.3">
      <c r="A88" s="32">
        <v>46110</v>
      </c>
      <c r="B88" s="31">
        <f t="shared" si="23"/>
        <v>3</v>
      </c>
      <c r="C88" s="31">
        <f t="shared" si="18"/>
        <v>14</v>
      </c>
      <c r="D88" s="31">
        <v>11</v>
      </c>
      <c r="E88" s="31" t="str">
        <f>VLOOKUP(D88,姓名檔!$A$2:$G$159,4,0)</f>
        <v>Yu Mei Feng馮俞梅</v>
      </c>
      <c r="F88" s="31" t="s">
        <v>15</v>
      </c>
      <c r="G88" s="31" t="str">
        <f>VLOOKUP(F88,姓名檔!$H$3:$I$18,2)</f>
        <v>主日奉獻</v>
      </c>
      <c r="H88" s="31" t="str">
        <f>VLOOKUP(D88,姓名檔!$A$2:G$159,5,0)</f>
        <v>Bank of America</v>
      </c>
      <c r="I88" s="31">
        <v>1761</v>
      </c>
      <c r="J88" s="137">
        <v>100</v>
      </c>
      <c r="K88" s="34"/>
      <c r="L88" s="33"/>
      <c r="M88" s="181" t="s">
        <v>286</v>
      </c>
      <c r="N88" s="181"/>
    </row>
    <row r="89" spans="1:14" x14ac:dyDescent="0.3">
      <c r="A89" s="32">
        <v>46110</v>
      </c>
      <c r="B89" s="31">
        <f t="shared" si="23"/>
        <v>3</v>
      </c>
      <c r="C89" s="31">
        <f t="shared" si="18"/>
        <v>14</v>
      </c>
      <c r="D89" s="31">
        <v>40</v>
      </c>
      <c r="E89" s="31" t="str">
        <f>VLOOKUP(D89,姓名檔!$A$2:$G$159,4,0)</f>
        <v>Suk Kuen Chan Lo Pastor Rainbow</v>
      </c>
      <c r="F89" s="31" t="s">
        <v>15</v>
      </c>
      <c r="G89" s="31" t="str">
        <f>VLOOKUP(F89,姓名檔!$H$3:$I$18,2)</f>
        <v>主日奉獻</v>
      </c>
      <c r="H89" s="31" t="str">
        <f>VLOOKUP(D89,姓名檔!$A$2:G$159,5,0)</f>
        <v>Bank of America</v>
      </c>
      <c r="I89" s="31">
        <v>2621</v>
      </c>
      <c r="J89" s="137">
        <v>100</v>
      </c>
      <c r="K89" s="34">
        <v>46112</v>
      </c>
      <c r="L89" s="33">
        <f>SUM(J82:J89)</f>
        <v>849</v>
      </c>
      <c r="M89" s="182">
        <f>SUM(L54:L89)</f>
        <v>6029</v>
      </c>
      <c r="N89" s="181" t="s">
        <v>234</v>
      </c>
    </row>
    <row r="90" spans="1:14" x14ac:dyDescent="0.3">
      <c r="A90" s="9">
        <v>46117</v>
      </c>
      <c r="B90" s="10">
        <f t="shared" si="23"/>
        <v>4</v>
      </c>
      <c r="C90" s="10">
        <f t="shared" si="18"/>
        <v>15</v>
      </c>
      <c r="D90" s="10">
        <v>12</v>
      </c>
      <c r="E90" s="10" t="str">
        <f>VLOOKUP(D90,姓名檔!$A$2:$G$159,4,0)</f>
        <v>Yu Hui Zhao趙宇輝 Yu Fei</v>
      </c>
      <c r="F90" s="10" t="s">
        <v>15</v>
      </c>
      <c r="G90" s="10" t="str">
        <f>VLOOKUP(F90,姓名檔!$H$3:$I$18,2)</f>
        <v>主日奉獻</v>
      </c>
      <c r="H90" s="10" t="str">
        <f>VLOOKUP(D90,姓名檔!$A$2:G$159,5,0)</f>
        <v>East West Bank</v>
      </c>
      <c r="I90" s="10"/>
      <c r="J90" s="135">
        <v>100</v>
      </c>
      <c r="K90" s="12"/>
      <c r="L90" s="11"/>
      <c r="M90" s="184"/>
      <c r="N90" s="184"/>
    </row>
    <row r="91" spans="1:14" x14ac:dyDescent="0.3">
      <c r="A91" s="9">
        <v>46117</v>
      </c>
      <c r="B91" s="10">
        <f t="shared" si="23"/>
        <v>4</v>
      </c>
      <c r="C91" s="10">
        <f t="shared" si="18"/>
        <v>15</v>
      </c>
      <c r="D91" s="160" t="s">
        <v>281</v>
      </c>
      <c r="E91" s="10" t="str">
        <f>VLOOKUP(D91,姓名檔!$A$2:$G$159,4,0)</f>
        <v>劉珈因Lau Ka Yan(Renee)</v>
      </c>
      <c r="F91" s="10" t="s">
        <v>15</v>
      </c>
      <c r="G91" s="10" t="str">
        <f>VLOOKUP(F91,姓名檔!$H$3:$I$18,2)</f>
        <v>主日奉獻</v>
      </c>
      <c r="H91" s="10">
        <f>VLOOKUP(D91,姓名檔!$A$2:G$159,5,0)</f>
        <v>0</v>
      </c>
      <c r="I91" s="10"/>
      <c r="J91" s="135">
        <v>100</v>
      </c>
      <c r="K91" s="10"/>
      <c r="L91" s="11"/>
      <c r="M91" s="184"/>
      <c r="N91" s="184"/>
    </row>
    <row r="92" spans="1:14" x14ac:dyDescent="0.3">
      <c r="A92" s="9">
        <v>46117</v>
      </c>
      <c r="B92" s="10">
        <f t="shared" si="23"/>
        <v>4</v>
      </c>
      <c r="C92" s="10">
        <f t="shared" si="18"/>
        <v>15</v>
      </c>
      <c r="D92" s="10">
        <v>9</v>
      </c>
      <c r="E92" s="10" t="str">
        <f>VLOOKUP(D92,姓名檔!$A$2:$G$159,4,0)</f>
        <v>Min Deng鄧敏 Sandy</v>
      </c>
      <c r="F92" s="10" t="s">
        <v>15</v>
      </c>
      <c r="G92" s="10" t="str">
        <f>VLOOKUP(F92,姓名檔!$H$3:$I$18,2)</f>
        <v>主日奉獻</v>
      </c>
      <c r="H92" s="10" t="str">
        <f>VLOOKUP(D92,姓名檔!$A$2:G$159,5,0)</f>
        <v>Wells Fargo</v>
      </c>
      <c r="I92" s="10"/>
      <c r="J92" s="135">
        <v>20</v>
      </c>
      <c r="K92" s="12"/>
      <c r="L92" s="11"/>
      <c r="M92" s="184"/>
      <c r="N92" s="184"/>
    </row>
    <row r="93" spans="1:14" x14ac:dyDescent="0.3">
      <c r="A93" s="9">
        <v>46117</v>
      </c>
      <c r="B93" s="10">
        <f t="shared" si="23"/>
        <v>4</v>
      </c>
      <c r="C93" s="10">
        <f t="shared" si="18"/>
        <v>15</v>
      </c>
      <c r="D93" s="10">
        <v>20</v>
      </c>
      <c r="E93" s="10" t="str">
        <f>VLOOKUP(D93,姓名檔!$A$2:$G$159,4,0)</f>
        <v>不具名</v>
      </c>
      <c r="F93" s="10" t="s">
        <v>15</v>
      </c>
      <c r="G93" s="10" t="str">
        <f>VLOOKUP(F93,姓名檔!$H$3:$I$18,2)</f>
        <v>主日奉獻</v>
      </c>
      <c r="H93" s="10">
        <f>VLOOKUP(D93,姓名檔!$A$2:G$159,5,0)</f>
        <v>0</v>
      </c>
      <c r="I93" s="10"/>
      <c r="J93" s="135">
        <v>70</v>
      </c>
      <c r="K93" s="10"/>
      <c r="L93" s="11"/>
      <c r="M93" s="184"/>
      <c r="N93" s="184"/>
    </row>
    <row r="94" spans="1:14" x14ac:dyDescent="0.3">
      <c r="A94" s="9">
        <v>46117</v>
      </c>
      <c r="B94" s="10">
        <f t="shared" si="23"/>
        <v>4</v>
      </c>
      <c r="C94" s="10">
        <f t="shared" si="18"/>
        <v>15</v>
      </c>
      <c r="D94" s="10">
        <v>10</v>
      </c>
      <c r="E94" s="10" t="str">
        <f>VLOOKUP(D94,姓名檔!$A$2:$G$159,4,0)</f>
        <v>Yu Y Kang, Lie Chang Zhu</v>
      </c>
      <c r="F94" s="10" t="s">
        <v>15</v>
      </c>
      <c r="G94" s="10" t="str">
        <f>VLOOKUP(F94,姓名檔!$H$3:$I$18,2)</f>
        <v>主日奉獻</v>
      </c>
      <c r="H94" s="10" t="str">
        <f>VLOOKUP(D94,姓名檔!$A$2:G$159,5,0)</f>
        <v>Bank of America</v>
      </c>
      <c r="I94" s="10">
        <v>137</v>
      </c>
      <c r="J94" s="135">
        <v>100</v>
      </c>
      <c r="K94" s="10"/>
      <c r="L94" s="11"/>
      <c r="M94" s="184"/>
      <c r="N94" s="184"/>
    </row>
    <row r="95" spans="1:14" x14ac:dyDescent="0.3">
      <c r="A95" s="9">
        <v>46117</v>
      </c>
      <c r="B95" s="10">
        <f t="shared" si="23"/>
        <v>4</v>
      </c>
      <c r="C95" s="10">
        <f t="shared" si="18"/>
        <v>15</v>
      </c>
      <c r="D95" s="10">
        <v>8</v>
      </c>
      <c r="E95" s="10" t="str">
        <f>VLOOKUP(D95,姓名檔!$A$2:$G$159,4,0)</f>
        <v>Christopher Liu Pamela Yu Liu</v>
      </c>
      <c r="F95" s="10" t="s">
        <v>15</v>
      </c>
      <c r="G95" s="10" t="str">
        <f>VLOOKUP(F95,姓名檔!$H$3:$I$18,2)</f>
        <v>主日奉獻</v>
      </c>
      <c r="H95" s="10" t="str">
        <f>VLOOKUP(D95,姓名檔!$A$2:G$159,5,0)</f>
        <v>Bank of America</v>
      </c>
      <c r="I95" s="10">
        <v>5534</v>
      </c>
      <c r="J95" s="135">
        <v>200</v>
      </c>
      <c r="K95" s="10"/>
      <c r="L95" s="11"/>
      <c r="M95" s="184"/>
      <c r="N95" s="184"/>
    </row>
    <row r="96" spans="1:14" x14ac:dyDescent="0.3">
      <c r="A96" s="9">
        <v>46117</v>
      </c>
      <c r="B96" s="10">
        <f t="shared" si="23"/>
        <v>4</v>
      </c>
      <c r="C96" s="10">
        <f t="shared" si="18"/>
        <v>15</v>
      </c>
      <c r="D96" s="10">
        <v>13</v>
      </c>
      <c r="E96" s="10" t="str">
        <f>VLOOKUP(D96,姓名檔!$A$2:$G$159,4,0)</f>
        <v>Ed &amp;Allison Lee</v>
      </c>
      <c r="F96" s="10" t="s">
        <v>15</v>
      </c>
      <c r="G96" s="10" t="str">
        <f>VLOOKUP(F96,姓名檔!$H$3:$I$18,2)</f>
        <v>主日奉獻</v>
      </c>
      <c r="H96" s="10" t="str">
        <f>VLOOKUP(D96,姓名檔!$A$2:G$159,5,0)</f>
        <v>US Bank</v>
      </c>
      <c r="I96" s="10">
        <v>9848</v>
      </c>
      <c r="J96" s="135">
        <v>200</v>
      </c>
      <c r="K96" s="10"/>
      <c r="L96" s="11"/>
      <c r="M96" s="184"/>
      <c r="N96" s="184"/>
    </row>
    <row r="97" spans="1:15" x14ac:dyDescent="0.3">
      <c r="A97" s="9">
        <v>46117</v>
      </c>
      <c r="B97" s="10">
        <f t="shared" si="23"/>
        <v>4</v>
      </c>
      <c r="C97" s="10">
        <f t="shared" si="18"/>
        <v>15</v>
      </c>
      <c r="D97" s="10">
        <v>47</v>
      </c>
      <c r="E97" s="10" t="str">
        <f>VLOOKUP(D97,姓名檔!$A$2:$G$159,4,0)</f>
        <v>Hong Wang王宏</v>
      </c>
      <c r="F97" s="10" t="s">
        <v>15</v>
      </c>
      <c r="G97" s="10" t="str">
        <f>VLOOKUP(F97,姓名檔!$H$3:$I$18,2)</f>
        <v>主日奉獻</v>
      </c>
      <c r="H97" s="10" t="str">
        <f>VLOOKUP(D97,姓名檔!$A$2:G$159,5,0)</f>
        <v>Bank of America</v>
      </c>
      <c r="I97" s="10">
        <v>3089</v>
      </c>
      <c r="J97" s="135">
        <v>200</v>
      </c>
      <c r="K97" s="12">
        <v>46119</v>
      </c>
      <c r="L97" s="11">
        <f>SUM(J90:J97)</f>
        <v>990</v>
      </c>
      <c r="M97" s="184" t="s">
        <v>292</v>
      </c>
      <c r="N97" s="184"/>
    </row>
    <row r="98" spans="1:15" x14ac:dyDescent="0.3">
      <c r="A98" s="27">
        <v>46124</v>
      </c>
      <c r="B98" s="28">
        <f t="shared" si="23"/>
        <v>4</v>
      </c>
      <c r="C98" s="28">
        <f t="shared" si="18"/>
        <v>16</v>
      </c>
      <c r="D98" s="180" t="s">
        <v>284</v>
      </c>
      <c r="E98" s="28" t="str">
        <f>VLOOKUP(D98,姓名檔!$A$2:$G$159,4,0)</f>
        <v>劉珈因Lau Ka Yan(Renee)</v>
      </c>
      <c r="F98" s="28" t="s">
        <v>15</v>
      </c>
      <c r="G98" s="28" t="str">
        <f>VLOOKUP(F98,姓名檔!$H$3:$I$18,2)</f>
        <v>主日奉獻</v>
      </c>
      <c r="H98" s="28">
        <f>VLOOKUP(D98,姓名檔!$A$2:G$159,5,0)</f>
        <v>0</v>
      </c>
      <c r="I98" s="28"/>
      <c r="J98" s="140">
        <v>100</v>
      </c>
      <c r="K98" s="28"/>
      <c r="L98" s="29"/>
      <c r="M98" s="184"/>
      <c r="N98" s="184"/>
    </row>
    <row r="99" spans="1:15" x14ac:dyDescent="0.3">
      <c r="A99" s="27">
        <v>46124</v>
      </c>
      <c r="B99" s="28">
        <f t="shared" si="23"/>
        <v>4</v>
      </c>
      <c r="C99" s="28">
        <f t="shared" si="18"/>
        <v>16</v>
      </c>
      <c r="D99" s="148">
        <v>20</v>
      </c>
      <c r="E99" s="28" t="str">
        <f>VLOOKUP(D99,姓名檔!$A$2:$G$159,4,0)</f>
        <v>不具名</v>
      </c>
      <c r="F99" s="28" t="s">
        <v>15</v>
      </c>
      <c r="G99" s="28" t="str">
        <f>VLOOKUP(F99,姓名檔!$H$3:$I$18,2)</f>
        <v>主日奉獻</v>
      </c>
      <c r="H99" s="28">
        <f>VLOOKUP(D99,姓名檔!$A$2:G$159,5,0)</f>
        <v>0</v>
      </c>
      <c r="I99" s="28"/>
      <c r="J99" s="140">
        <v>10</v>
      </c>
      <c r="K99" s="30"/>
      <c r="L99" s="29"/>
      <c r="M99" s="184"/>
      <c r="N99" s="184"/>
    </row>
    <row r="100" spans="1:15" x14ac:dyDescent="0.3">
      <c r="A100" s="27">
        <v>46124</v>
      </c>
      <c r="B100" s="28">
        <f t="shared" si="23"/>
        <v>4</v>
      </c>
      <c r="C100" s="28">
        <f t="shared" si="18"/>
        <v>16</v>
      </c>
      <c r="D100" s="28">
        <v>11</v>
      </c>
      <c r="E100" s="28" t="str">
        <f>VLOOKUP(D100,姓名檔!$A$2:$G$159,4,0)</f>
        <v>Yu Mei Feng馮俞梅</v>
      </c>
      <c r="F100" s="28" t="s">
        <v>15</v>
      </c>
      <c r="G100" s="28" t="str">
        <f>VLOOKUP(F100,姓名檔!$H$3:$I$18,2)</f>
        <v>主日奉獻</v>
      </c>
      <c r="H100" s="28" t="str">
        <f>VLOOKUP(D100,姓名檔!$A$2:G$159,5,0)</f>
        <v>Bank of America</v>
      </c>
      <c r="I100" s="28">
        <v>1781</v>
      </c>
      <c r="J100" s="140">
        <v>100</v>
      </c>
      <c r="K100" s="30"/>
      <c r="L100" s="29"/>
      <c r="M100" s="184"/>
      <c r="N100" s="184"/>
    </row>
    <row r="101" spans="1:15" x14ac:dyDescent="0.3">
      <c r="A101" s="27">
        <v>46124</v>
      </c>
      <c r="B101" s="28">
        <f t="shared" si="23"/>
        <v>4</v>
      </c>
      <c r="C101" s="28">
        <f t="shared" si="18"/>
        <v>16</v>
      </c>
      <c r="D101" s="28">
        <v>47</v>
      </c>
      <c r="E101" s="28" t="str">
        <f>VLOOKUP(D101,姓名檔!$A$2:$G$159,4,0)</f>
        <v>Hong Wang王宏</v>
      </c>
      <c r="F101" s="28" t="s">
        <v>15</v>
      </c>
      <c r="G101" s="28" t="str">
        <f>VLOOKUP(F101,姓名檔!$H$3:$I$18,2)</f>
        <v>主日奉獻</v>
      </c>
      <c r="H101" s="28" t="str">
        <f>VLOOKUP(D101,姓名檔!$A$2:G$159,5,0)</f>
        <v>Bank of America</v>
      </c>
      <c r="I101" s="28">
        <v>3091</v>
      </c>
      <c r="J101" s="140">
        <v>200</v>
      </c>
      <c r="K101" s="30"/>
      <c r="L101" s="29"/>
      <c r="M101" s="184"/>
      <c r="N101" s="184"/>
    </row>
    <row r="102" spans="1:15" x14ac:dyDescent="0.3">
      <c r="A102" s="27">
        <v>46124</v>
      </c>
      <c r="B102" s="28">
        <f t="shared" si="23"/>
        <v>4</v>
      </c>
      <c r="C102" s="28">
        <f t="shared" si="18"/>
        <v>16</v>
      </c>
      <c r="D102" s="28">
        <v>42</v>
      </c>
      <c r="E102" s="28" t="str">
        <f>VLOOKUP(D102,姓名檔!$A$2:$G$159,4,0)</f>
        <v>Xia Lian Zhang張夏蓮</v>
      </c>
      <c r="F102" s="28" t="s">
        <v>15</v>
      </c>
      <c r="G102" s="28" t="str">
        <f>VLOOKUP(F102,姓名檔!$H$3:$I$18,2)</f>
        <v>主日奉獻</v>
      </c>
      <c r="H102" s="28" t="str">
        <f>VLOOKUP(D102,姓名檔!$A$2:G$159,5,0)</f>
        <v>Pacific</v>
      </c>
      <c r="I102" s="28">
        <v>101</v>
      </c>
      <c r="J102" s="140">
        <v>100</v>
      </c>
      <c r="K102" s="28"/>
      <c r="L102" s="29"/>
      <c r="M102" s="184"/>
      <c r="N102" s="184"/>
    </row>
    <row r="103" spans="1:15" x14ac:dyDescent="0.3">
      <c r="A103" s="27">
        <v>46124</v>
      </c>
      <c r="B103" s="28">
        <f t="shared" si="23"/>
        <v>4</v>
      </c>
      <c r="C103" s="28">
        <f t="shared" si="18"/>
        <v>16</v>
      </c>
      <c r="D103" s="28">
        <v>40</v>
      </c>
      <c r="E103" s="28" t="str">
        <f>VLOOKUP(D103,姓名檔!$A$2:$G$159,4,0)</f>
        <v>Suk Kuen Chan Lo Pastor Rainbow</v>
      </c>
      <c r="F103" s="28" t="s">
        <v>15</v>
      </c>
      <c r="G103" s="28" t="str">
        <f>VLOOKUP(F103,姓名檔!$H$3:$I$18,2)</f>
        <v>主日奉獻</v>
      </c>
      <c r="H103" s="28" t="str">
        <f>VLOOKUP(D103,姓名檔!$A$2:G$159,5,0)</f>
        <v>Bank of America</v>
      </c>
      <c r="I103" s="28">
        <v>2622</v>
      </c>
      <c r="J103" s="140">
        <v>100</v>
      </c>
      <c r="K103" s="28"/>
      <c r="L103" s="29"/>
      <c r="M103" s="184"/>
      <c r="N103" s="184"/>
    </row>
    <row r="104" spans="1:15" x14ac:dyDescent="0.3">
      <c r="A104" s="27">
        <v>46124</v>
      </c>
      <c r="B104" s="28">
        <f t="shared" ref="B104" si="24">MONTH(A104)</f>
        <v>4</v>
      </c>
      <c r="C104" s="28">
        <f t="shared" si="18"/>
        <v>16</v>
      </c>
      <c r="D104" s="28">
        <v>18</v>
      </c>
      <c r="E104" s="28" t="str">
        <f>VLOOKUP(D104,姓名檔!$A$2:$G$159,4,0)</f>
        <v>Yan Cheng程雁</v>
      </c>
      <c r="F104" s="28" t="s">
        <v>15</v>
      </c>
      <c r="G104" s="28" t="str">
        <f>VLOOKUP(F104,姓名檔!$H$3:$I$18,2)</f>
        <v>主日奉獻</v>
      </c>
      <c r="H104" s="28" t="s">
        <v>285</v>
      </c>
      <c r="I104" s="28">
        <v>455</v>
      </c>
      <c r="J104" s="140">
        <v>500</v>
      </c>
      <c r="K104" s="28"/>
      <c r="L104" s="29"/>
      <c r="M104" s="184"/>
      <c r="N104" s="184"/>
    </row>
    <row r="105" spans="1:15" x14ac:dyDescent="0.3">
      <c r="A105" s="27">
        <v>46124</v>
      </c>
      <c r="B105" s="28">
        <f t="shared" si="23"/>
        <v>4</v>
      </c>
      <c r="C105" s="28">
        <f t="shared" si="18"/>
        <v>16</v>
      </c>
      <c r="D105" s="28">
        <v>8</v>
      </c>
      <c r="E105" s="28" t="str">
        <f>VLOOKUP(D105,姓名檔!$A$2:$G$159,4,0)</f>
        <v>Christopher Liu Pamela Yu Liu</v>
      </c>
      <c r="F105" s="28" t="s">
        <v>15</v>
      </c>
      <c r="G105" s="28" t="str">
        <f>VLOOKUP(F105,姓名檔!$H$3:$I$18,2)</f>
        <v>主日奉獻</v>
      </c>
      <c r="H105" s="28" t="str">
        <f>VLOOKUP(D105,姓名檔!$A$2:G$159,5,0)</f>
        <v>Bank of America</v>
      </c>
      <c r="I105" s="28">
        <v>5535</v>
      </c>
      <c r="J105" s="140">
        <v>200</v>
      </c>
      <c r="K105" s="30">
        <v>46126</v>
      </c>
      <c r="L105" s="29">
        <f>SUM(J98:J105)</f>
        <v>1310</v>
      </c>
      <c r="M105" s="184" t="s">
        <v>292</v>
      </c>
      <c r="N105" s="184"/>
    </row>
    <row r="106" spans="1:15" x14ac:dyDescent="0.3">
      <c r="A106" s="32">
        <v>46131</v>
      </c>
      <c r="B106" s="31">
        <f t="shared" si="23"/>
        <v>4</v>
      </c>
      <c r="C106" s="31">
        <f t="shared" si="18"/>
        <v>17</v>
      </c>
      <c r="D106" s="31">
        <v>9</v>
      </c>
      <c r="E106" s="31" t="str">
        <f>VLOOKUP(D106,姓名檔!$A$2:$G$159,4,0)</f>
        <v>Min Deng鄧敏 Sandy</v>
      </c>
      <c r="F106" s="31" t="s">
        <v>15</v>
      </c>
      <c r="G106" s="31" t="str">
        <f>VLOOKUP(F106,姓名檔!$H$3:$I$18,2)</f>
        <v>主日奉獻</v>
      </c>
      <c r="H106" s="31"/>
      <c r="I106" s="31"/>
      <c r="J106" s="137">
        <v>20</v>
      </c>
      <c r="K106" s="31"/>
      <c r="L106" s="33"/>
      <c r="M106" s="184"/>
      <c r="N106" s="184"/>
    </row>
    <row r="107" spans="1:15" x14ac:dyDescent="0.3">
      <c r="A107" s="32">
        <v>46131</v>
      </c>
      <c r="B107" s="31">
        <f t="shared" si="23"/>
        <v>4</v>
      </c>
      <c r="C107" s="31">
        <f t="shared" si="18"/>
        <v>17</v>
      </c>
      <c r="D107" s="31">
        <v>20</v>
      </c>
      <c r="E107" s="31" t="str">
        <f>VLOOKUP(D107,姓名檔!$A$2:$G$159,4,0)</f>
        <v>不具名</v>
      </c>
      <c r="F107" s="31" t="s">
        <v>15</v>
      </c>
      <c r="G107" s="31" t="str">
        <f>VLOOKUP(F107,姓名檔!$H$3:$I$18,2)</f>
        <v>主日奉獻</v>
      </c>
      <c r="H107" s="31">
        <f>VLOOKUP(D107,姓名檔!$A$2:G$159,5,0)</f>
        <v>0</v>
      </c>
      <c r="I107" s="31"/>
      <c r="J107" s="137">
        <v>28</v>
      </c>
      <c r="K107" s="34"/>
      <c r="L107" s="33"/>
      <c r="M107" s="184"/>
      <c r="N107" s="184"/>
      <c r="O107" s="45"/>
    </row>
    <row r="108" spans="1:15" x14ac:dyDescent="0.3">
      <c r="A108" s="32">
        <v>46131</v>
      </c>
      <c r="B108" s="31">
        <f t="shared" si="23"/>
        <v>4</v>
      </c>
      <c r="C108" s="31">
        <f t="shared" si="18"/>
        <v>17</v>
      </c>
      <c r="D108" s="31">
        <v>8</v>
      </c>
      <c r="E108" s="31" t="str">
        <f>VLOOKUP(D108,姓名檔!$A$2:$G$159,4,0)</f>
        <v>Christopher Liu Pamela Yu Liu</v>
      </c>
      <c r="F108" s="31" t="s">
        <v>15</v>
      </c>
      <c r="G108" s="31" t="str">
        <f>VLOOKUP(F108,姓名檔!$H$3:$I$18,2)</f>
        <v>主日奉獻</v>
      </c>
      <c r="H108" s="31" t="str">
        <f>VLOOKUP(D108,姓名檔!$A$2:G$159,5,0)</f>
        <v>Bank of America</v>
      </c>
      <c r="I108" s="31">
        <v>5537</v>
      </c>
      <c r="J108" s="137">
        <v>200</v>
      </c>
      <c r="K108" s="31"/>
      <c r="L108" s="33"/>
      <c r="M108" s="184"/>
      <c r="N108" s="184"/>
      <c r="O108" s="45"/>
    </row>
    <row r="109" spans="1:15" x14ac:dyDescent="0.3">
      <c r="A109" s="32">
        <v>46131</v>
      </c>
      <c r="B109" s="31">
        <f t="shared" si="23"/>
        <v>4</v>
      </c>
      <c r="C109" s="31">
        <f t="shared" si="18"/>
        <v>17</v>
      </c>
      <c r="D109" s="31">
        <v>47</v>
      </c>
      <c r="E109" s="31" t="str">
        <f>VLOOKUP(D109,姓名檔!$A$2:$G$159,4,0)</f>
        <v>Hong Wang王宏</v>
      </c>
      <c r="F109" s="31" t="s">
        <v>15</v>
      </c>
      <c r="G109" s="31" t="str">
        <f>VLOOKUP(F109,姓名檔!$H$3:$I$18,2)</f>
        <v>主日奉獻</v>
      </c>
      <c r="H109" s="31" t="str">
        <f>VLOOKUP(D109,姓名檔!$A$2:G$159,5,0)</f>
        <v>Bank of America</v>
      </c>
      <c r="I109" s="31">
        <v>3092</v>
      </c>
      <c r="J109" s="137">
        <v>200</v>
      </c>
      <c r="K109" s="34">
        <v>46133</v>
      </c>
      <c r="L109" s="33">
        <f>SUM(J106:J109)</f>
        <v>448</v>
      </c>
      <c r="M109" s="184" t="s">
        <v>292</v>
      </c>
      <c r="N109" s="184"/>
      <c r="O109" s="45"/>
    </row>
    <row r="110" spans="1:15" x14ac:dyDescent="0.3">
      <c r="A110" s="9">
        <v>46138</v>
      </c>
      <c r="B110" s="10">
        <f>MONTH(A110)</f>
        <v>4</v>
      </c>
      <c r="C110" s="10">
        <f t="shared" si="18"/>
        <v>18</v>
      </c>
      <c r="D110" s="10">
        <v>9</v>
      </c>
      <c r="E110" s="10" t="str">
        <f>VLOOKUP(D110,姓名檔!$A$2:$G$159,4,0)</f>
        <v>Min Deng鄧敏 Sandy</v>
      </c>
      <c r="F110" s="10" t="s">
        <v>15</v>
      </c>
      <c r="G110" s="10" t="str">
        <f>VLOOKUP(F110,姓名檔!$H$3:$I$18,2)</f>
        <v>主日奉獻</v>
      </c>
      <c r="H110" s="10"/>
      <c r="I110" s="10"/>
      <c r="J110" s="135">
        <v>20</v>
      </c>
      <c r="K110" s="10"/>
      <c r="L110" s="11"/>
      <c r="M110" s="184"/>
      <c r="N110" s="184"/>
      <c r="O110" s="45"/>
    </row>
    <row r="111" spans="1:15" x14ac:dyDescent="0.3">
      <c r="A111" s="9">
        <v>46138</v>
      </c>
      <c r="B111" s="10">
        <f t="shared" si="23"/>
        <v>4</v>
      </c>
      <c r="C111" s="10">
        <f t="shared" si="18"/>
        <v>18</v>
      </c>
      <c r="D111" s="10">
        <v>18</v>
      </c>
      <c r="E111" s="10" t="str">
        <f>VLOOKUP(D111,姓名檔!$A$2:$G$159,4,0)</f>
        <v>Yan Cheng程雁</v>
      </c>
      <c r="F111" s="10" t="s">
        <v>15</v>
      </c>
      <c r="G111" s="10" t="str">
        <f>VLOOKUP(F111,姓名檔!$H$3:$I$18,2)</f>
        <v>主日奉獻</v>
      </c>
      <c r="H111" s="10"/>
      <c r="I111" s="10"/>
      <c r="J111" s="135">
        <v>100</v>
      </c>
      <c r="K111" s="10"/>
      <c r="L111" s="11"/>
      <c r="M111" s="184"/>
      <c r="N111" s="184"/>
      <c r="O111" s="45"/>
    </row>
    <row r="112" spans="1:15" x14ac:dyDescent="0.3">
      <c r="A112" s="9">
        <v>46138</v>
      </c>
      <c r="B112" s="10">
        <f t="shared" si="23"/>
        <v>4</v>
      </c>
      <c r="C112" s="10">
        <f t="shared" si="18"/>
        <v>18</v>
      </c>
      <c r="D112" s="10">
        <v>20</v>
      </c>
      <c r="E112" s="10" t="str">
        <f>VLOOKUP(D112,姓名檔!$A$2:$G$159,4,0)</f>
        <v>不具名</v>
      </c>
      <c r="F112" s="10" t="s">
        <v>15</v>
      </c>
      <c r="G112" s="10" t="str">
        <f>VLOOKUP(F112,姓名檔!$H$3:$I$18,2)</f>
        <v>主日奉獻</v>
      </c>
      <c r="H112" s="10">
        <f>VLOOKUP(D112,姓名檔!$A$2:G$159,5,0)</f>
        <v>0</v>
      </c>
      <c r="I112" s="10"/>
      <c r="J112" s="135">
        <v>55</v>
      </c>
      <c r="K112" s="183"/>
      <c r="L112" s="11"/>
      <c r="M112" s="185"/>
      <c r="N112" s="184"/>
      <c r="O112" s="45"/>
    </row>
    <row r="113" spans="1:15" x14ac:dyDescent="0.3">
      <c r="A113" s="9">
        <v>46138</v>
      </c>
      <c r="B113" s="10">
        <f t="shared" si="23"/>
        <v>4</v>
      </c>
      <c r="C113" s="10">
        <f t="shared" si="18"/>
        <v>18</v>
      </c>
      <c r="D113" s="10">
        <v>6</v>
      </c>
      <c r="E113" s="10" t="str">
        <f>VLOOKUP(D113,姓名檔!$A$2:$G$159,4,0)</f>
        <v>Joseph Wu&amp;Mei Chen</v>
      </c>
      <c r="F113" s="10" t="s">
        <v>15</v>
      </c>
      <c r="G113" s="10" t="str">
        <f>VLOOKUP(F113,姓名檔!$H$3:$I$18,2)</f>
        <v>主日奉獻</v>
      </c>
      <c r="H113" s="10" t="str">
        <f>VLOOKUP(D113,姓名檔!$A$2:G$159,5,0)</f>
        <v>Fidelity</v>
      </c>
      <c r="I113" s="10">
        <v>953650192</v>
      </c>
      <c r="J113" s="135">
        <v>3000</v>
      </c>
      <c r="K113" s="12"/>
      <c r="L113" s="11"/>
      <c r="M113" s="185" t="s">
        <v>293</v>
      </c>
      <c r="N113" s="184"/>
      <c r="O113" s="45"/>
    </row>
    <row r="114" spans="1:15" x14ac:dyDescent="0.3">
      <c r="A114" s="9">
        <v>46138</v>
      </c>
      <c r="B114" s="10">
        <f t="shared" si="23"/>
        <v>4</v>
      </c>
      <c r="C114" s="10">
        <f t="shared" si="18"/>
        <v>18</v>
      </c>
      <c r="D114" s="10">
        <v>8</v>
      </c>
      <c r="E114" s="10" t="str">
        <f>VLOOKUP(D114,姓名檔!$A$2:$G$159,4,0)</f>
        <v>Christopher Liu Pamela Yu Liu</v>
      </c>
      <c r="F114" s="10" t="s">
        <v>15</v>
      </c>
      <c r="G114" s="10" t="str">
        <f>VLOOKUP(F114,姓名檔!$H$3:$I$18,2)</f>
        <v>主日奉獻</v>
      </c>
      <c r="H114" s="10" t="str">
        <f>VLOOKUP(D114,姓名檔!$A$2:G$159,5,0)</f>
        <v>Bank of America</v>
      </c>
      <c r="I114" s="10">
        <v>5538</v>
      </c>
      <c r="J114" s="135">
        <v>200</v>
      </c>
      <c r="K114" s="12">
        <v>46140</v>
      </c>
      <c r="L114" s="11">
        <f>SUM(J110:J114)</f>
        <v>3375</v>
      </c>
      <c r="M114" s="185">
        <f>SUM(L97:L114)</f>
        <v>6123</v>
      </c>
      <c r="N114" s="184" t="s">
        <v>234</v>
      </c>
      <c r="O114" s="45" t="s">
        <v>292</v>
      </c>
    </row>
    <row r="115" spans="1:15" x14ac:dyDescent="0.3">
      <c r="A115" s="38">
        <v>46145</v>
      </c>
      <c r="B115" s="39">
        <f t="shared" si="23"/>
        <v>5</v>
      </c>
      <c r="C115" s="39">
        <f t="shared" si="18"/>
        <v>19</v>
      </c>
      <c r="D115" s="39">
        <v>18</v>
      </c>
      <c r="E115" s="39" t="str">
        <f>VLOOKUP(D115,姓名檔!$A$2:$G$159,4,0)</f>
        <v>Yan Cheng程雁</v>
      </c>
      <c r="F115" s="39" t="s">
        <v>15</v>
      </c>
      <c r="G115" s="39" t="str">
        <f>VLOOKUP(F115,姓名檔!$H$3:$I$18,2)</f>
        <v>主日奉獻</v>
      </c>
      <c r="H115" s="39"/>
      <c r="I115" s="39"/>
      <c r="J115" s="139">
        <v>500</v>
      </c>
      <c r="K115" s="39"/>
      <c r="L115" s="40"/>
      <c r="M115" s="72"/>
      <c r="N115" s="72"/>
      <c r="O115" s="45"/>
    </row>
    <row r="116" spans="1:15" x14ac:dyDescent="0.3">
      <c r="A116" s="38">
        <v>46145</v>
      </c>
      <c r="B116" s="39">
        <f t="shared" si="23"/>
        <v>5</v>
      </c>
      <c r="C116" s="39">
        <f t="shared" si="18"/>
        <v>19</v>
      </c>
      <c r="D116" s="39">
        <v>12</v>
      </c>
      <c r="E116" s="39" t="str">
        <f>VLOOKUP(D116,姓名檔!$A$2:$G$159,4,0)</f>
        <v>Yu Hui Zhao趙宇輝 Yu Fei</v>
      </c>
      <c r="F116" s="39" t="s">
        <v>15</v>
      </c>
      <c r="G116" s="39" t="str">
        <f>VLOOKUP(F116,姓名檔!$H$3:$I$18,2)</f>
        <v>主日奉獻</v>
      </c>
      <c r="H116" s="39"/>
      <c r="I116" s="39"/>
      <c r="J116" s="139">
        <v>100</v>
      </c>
      <c r="K116" s="39"/>
      <c r="L116" s="40"/>
      <c r="M116" s="72"/>
      <c r="N116" s="72"/>
      <c r="O116" s="45"/>
    </row>
    <row r="117" spans="1:15" x14ac:dyDescent="0.3">
      <c r="A117" s="38">
        <v>46145</v>
      </c>
      <c r="B117" s="39">
        <f t="shared" si="23"/>
        <v>5</v>
      </c>
      <c r="C117" s="39">
        <f t="shared" si="18"/>
        <v>19</v>
      </c>
      <c r="D117" s="186" t="s">
        <v>291</v>
      </c>
      <c r="E117" s="39" t="str">
        <f>VLOOKUP(D117,姓名檔!$A$2:$G$159,4,0)</f>
        <v>劉珈因Lau Ka Yan(Renee)</v>
      </c>
      <c r="F117" s="39" t="s">
        <v>15</v>
      </c>
      <c r="G117" s="39" t="str">
        <f>VLOOKUP(F117,姓名檔!$H$3:$I$18,2)</f>
        <v>主日奉獻</v>
      </c>
      <c r="H117" s="39">
        <f>VLOOKUP(D117,姓名檔!$A$2:G$159,5,0)</f>
        <v>0</v>
      </c>
      <c r="I117" s="39"/>
      <c r="J117" s="139">
        <v>100</v>
      </c>
      <c r="K117" s="41"/>
      <c r="L117" s="40"/>
      <c r="M117" s="72"/>
      <c r="N117" s="72"/>
      <c r="O117" s="45"/>
    </row>
    <row r="118" spans="1:15" x14ac:dyDescent="0.3">
      <c r="A118" s="38">
        <v>46145</v>
      </c>
      <c r="B118" s="39">
        <f t="shared" si="23"/>
        <v>5</v>
      </c>
      <c r="C118" s="39">
        <f t="shared" si="18"/>
        <v>19</v>
      </c>
      <c r="D118" s="39">
        <v>20</v>
      </c>
      <c r="E118" s="39" t="str">
        <f>VLOOKUP(D118,姓名檔!$A$2:$G$159,4,0)</f>
        <v>不具名</v>
      </c>
      <c r="F118" s="39" t="s">
        <v>15</v>
      </c>
      <c r="G118" s="39" t="str">
        <f>VLOOKUP(F118,姓名檔!$H$3:$I$18,2)</f>
        <v>主日奉獻</v>
      </c>
      <c r="H118" s="39">
        <f>VLOOKUP(D118,姓名檔!$A$2:G$159,5,0)</f>
        <v>0</v>
      </c>
      <c r="I118" s="39"/>
      <c r="J118" s="139">
        <v>10</v>
      </c>
      <c r="K118" s="187"/>
      <c r="L118" s="40"/>
      <c r="M118" s="72"/>
      <c r="N118" s="72"/>
      <c r="O118" s="45"/>
    </row>
    <row r="119" spans="1:15" x14ac:dyDescent="0.3">
      <c r="A119" s="38">
        <v>46145</v>
      </c>
      <c r="B119" s="39">
        <f t="shared" si="23"/>
        <v>5</v>
      </c>
      <c r="C119" s="39">
        <f t="shared" si="18"/>
        <v>19</v>
      </c>
      <c r="D119" s="39">
        <v>47</v>
      </c>
      <c r="E119" s="39" t="str">
        <f>VLOOKUP(D119,姓名檔!$A$2:$G$159,4,0)</f>
        <v>Hong Wang王宏</v>
      </c>
      <c r="F119" s="39" t="s">
        <v>15</v>
      </c>
      <c r="G119" s="39" t="str">
        <f>VLOOKUP(F119,姓名檔!$H$3:$I$18,2)</f>
        <v>主日奉獻</v>
      </c>
      <c r="H119" s="39" t="str">
        <f>VLOOKUP(D119,姓名檔!$A$2:G$159,5,0)</f>
        <v>Bank of America</v>
      </c>
      <c r="I119" s="39">
        <v>3093</v>
      </c>
      <c r="J119" s="139">
        <v>200</v>
      </c>
      <c r="K119" s="41"/>
      <c r="L119" s="40"/>
      <c r="M119" s="72"/>
      <c r="N119" s="72"/>
      <c r="O119" s="45"/>
    </row>
    <row r="120" spans="1:15" x14ac:dyDescent="0.3">
      <c r="A120" s="38">
        <v>46145</v>
      </c>
      <c r="B120" s="39">
        <f t="shared" si="23"/>
        <v>5</v>
      </c>
      <c r="C120" s="39">
        <f t="shared" si="18"/>
        <v>19</v>
      </c>
      <c r="D120" s="39">
        <v>10</v>
      </c>
      <c r="E120" s="39" t="str">
        <f>VLOOKUP(D120,姓名檔!$A$2:$G$159,4,0)</f>
        <v>Yu Y Kang, Lie Chang Zhu</v>
      </c>
      <c r="F120" s="39" t="s">
        <v>15</v>
      </c>
      <c r="G120" s="39" t="str">
        <f>VLOOKUP(F120,姓名檔!$H$3:$I$18,2)</f>
        <v>主日奉獻</v>
      </c>
      <c r="H120" s="39" t="str">
        <f>VLOOKUP(D120,姓名檔!$A$2:G$159,5,0)</f>
        <v>Bank of America</v>
      </c>
      <c r="I120" s="39">
        <v>138</v>
      </c>
      <c r="J120" s="139">
        <v>50</v>
      </c>
      <c r="K120" s="39"/>
      <c r="L120" s="40"/>
      <c r="M120" s="72"/>
      <c r="N120" s="72"/>
    </row>
    <row r="121" spans="1:15" x14ac:dyDescent="0.3">
      <c r="A121" s="38">
        <v>46145</v>
      </c>
      <c r="B121" s="39">
        <f t="shared" ref="B121" si="25">MONTH(A121)</f>
        <v>5</v>
      </c>
      <c r="C121" s="39">
        <f t="shared" ref="C121" si="26">WEEKNUM(A121)</f>
        <v>19</v>
      </c>
      <c r="D121" s="39">
        <v>8</v>
      </c>
      <c r="E121" s="39" t="str">
        <f>VLOOKUP(D121,姓名檔!$A$2:$G$159,4,0)</f>
        <v>Christopher Liu Pamela Yu Liu</v>
      </c>
      <c r="F121" s="39" t="s">
        <v>15</v>
      </c>
      <c r="G121" s="39" t="str">
        <f>VLOOKUP(F121,姓名檔!$H$3:$I$18,2)</f>
        <v>主日奉獻</v>
      </c>
      <c r="H121" s="39" t="str">
        <f>VLOOKUP(D121,姓名檔!$A$2:G$159,5,0)</f>
        <v>Bank of America</v>
      </c>
      <c r="I121" s="39">
        <v>5540</v>
      </c>
      <c r="J121" s="139">
        <v>200</v>
      </c>
      <c r="K121" s="41">
        <v>46153</v>
      </c>
      <c r="L121" s="40">
        <f>SUM(J115:J121)</f>
        <v>1160</v>
      </c>
      <c r="M121" s="72" t="s">
        <v>304</v>
      </c>
      <c r="N121" s="72"/>
    </row>
    <row r="122" spans="1:15" x14ac:dyDescent="0.3">
      <c r="A122" s="32">
        <v>46152</v>
      </c>
      <c r="B122" s="31">
        <f t="shared" si="23"/>
        <v>5</v>
      </c>
      <c r="C122" s="31">
        <f t="shared" si="18"/>
        <v>20</v>
      </c>
      <c r="D122" s="31">
        <v>27</v>
      </c>
      <c r="E122" s="31" t="str">
        <f>VLOOKUP(D122,姓名檔!$A$2:$G$159,4,0)</f>
        <v>Sylvia Fine小元Charles</v>
      </c>
      <c r="F122" s="31" t="s">
        <v>15</v>
      </c>
      <c r="G122" s="31" t="str">
        <f>VLOOKUP(F122,姓名檔!$H$3:$I$18,2)</f>
        <v>主日奉獻</v>
      </c>
      <c r="H122" s="31"/>
      <c r="I122" s="31"/>
      <c r="J122" s="137">
        <v>100</v>
      </c>
      <c r="K122" s="31"/>
      <c r="L122" s="33"/>
      <c r="M122" s="72"/>
      <c r="N122" s="72"/>
    </row>
    <row r="123" spans="1:15" x14ac:dyDescent="0.3">
      <c r="A123" s="32">
        <v>46152</v>
      </c>
      <c r="B123" s="31">
        <f t="shared" si="23"/>
        <v>5</v>
      </c>
      <c r="C123" s="31">
        <f t="shared" si="18"/>
        <v>20</v>
      </c>
      <c r="D123" s="31">
        <v>9</v>
      </c>
      <c r="E123" s="31" t="str">
        <f>VLOOKUP(D123,姓名檔!$A$2:$G$159,4,0)</f>
        <v>Min Deng鄧敏 Sandy</v>
      </c>
      <c r="F123" s="31" t="s">
        <v>15</v>
      </c>
      <c r="G123" s="31" t="str">
        <f>VLOOKUP(F123,姓名檔!$H$3:$I$18,2)</f>
        <v>主日奉獻</v>
      </c>
      <c r="H123" s="31"/>
      <c r="I123" s="31"/>
      <c r="J123" s="137">
        <v>20</v>
      </c>
      <c r="K123" s="31"/>
      <c r="L123" s="33"/>
      <c r="M123" s="72"/>
      <c r="N123" s="72"/>
    </row>
    <row r="124" spans="1:15" x14ac:dyDescent="0.3">
      <c r="A124" s="32">
        <v>46152</v>
      </c>
      <c r="B124" s="31">
        <f t="shared" si="23"/>
        <v>5</v>
      </c>
      <c r="C124" s="31">
        <f t="shared" si="18"/>
        <v>20</v>
      </c>
      <c r="D124" s="31">
        <v>20</v>
      </c>
      <c r="E124" s="31" t="str">
        <f>VLOOKUP(D124,姓名檔!$A$2:$G$159,4,0)</f>
        <v>不具名</v>
      </c>
      <c r="F124" s="31" t="s">
        <v>15</v>
      </c>
      <c r="G124" s="31" t="str">
        <f>VLOOKUP(F124,姓名檔!$H$3:$I$18,2)</f>
        <v>主日奉獻</v>
      </c>
      <c r="H124" s="31">
        <f>VLOOKUP(D124,姓名檔!$A$2:G$159,5,0)</f>
        <v>0</v>
      </c>
      <c r="I124" s="31"/>
      <c r="J124" s="137">
        <v>123</v>
      </c>
      <c r="K124" s="190"/>
      <c r="L124" s="33"/>
      <c r="M124" s="72"/>
      <c r="N124" s="72"/>
    </row>
    <row r="125" spans="1:15" x14ac:dyDescent="0.3">
      <c r="A125" s="32">
        <v>46152</v>
      </c>
      <c r="B125" s="31">
        <f t="shared" si="23"/>
        <v>5</v>
      </c>
      <c r="C125" s="31">
        <f t="shared" si="18"/>
        <v>20</v>
      </c>
      <c r="D125" s="31">
        <v>13</v>
      </c>
      <c r="E125" s="31" t="str">
        <f>VLOOKUP(D125,姓名檔!$A$2:$G$159,4,0)</f>
        <v>Ed &amp;Allison Lee</v>
      </c>
      <c r="F125" s="31" t="s">
        <v>15</v>
      </c>
      <c r="G125" s="31" t="str">
        <f>VLOOKUP(F125,姓名檔!$H$3:$I$18,2)</f>
        <v>主日奉獻</v>
      </c>
      <c r="H125" s="31" t="str">
        <f>VLOOKUP(D125,姓名檔!$A$2:G$159,5,0)</f>
        <v>US Bank</v>
      </c>
      <c r="I125" s="31">
        <v>9825</v>
      </c>
      <c r="J125" s="137">
        <v>200</v>
      </c>
      <c r="K125" s="31"/>
      <c r="L125" s="33"/>
      <c r="M125" s="72"/>
      <c r="N125" s="72"/>
    </row>
    <row r="126" spans="1:15" x14ac:dyDescent="0.3">
      <c r="A126" s="32">
        <v>46152</v>
      </c>
      <c r="B126" s="31">
        <f t="shared" si="23"/>
        <v>5</v>
      </c>
      <c r="C126" s="31">
        <f t="shared" si="18"/>
        <v>20</v>
      </c>
      <c r="D126" s="156">
        <v>41</v>
      </c>
      <c r="E126" s="31" t="str">
        <f>VLOOKUP(D126,姓名檔!$A$2:$G$159,4,0)</f>
        <v>王思旭 Sixu Wang(王悅玲)</v>
      </c>
      <c r="F126" s="31" t="s">
        <v>15</v>
      </c>
      <c r="G126" s="31" t="str">
        <f>VLOOKUP(F126,姓名檔!$H$3:$I$18,2)</f>
        <v>主日奉獻</v>
      </c>
      <c r="H126" s="31" t="str">
        <f>VLOOKUP(D126,姓名檔!$A$2:G$159,5,0)</f>
        <v>Bank of America</v>
      </c>
      <c r="I126" s="31">
        <v>1356</v>
      </c>
      <c r="J126" s="137">
        <v>100</v>
      </c>
      <c r="K126" s="31"/>
      <c r="L126" s="33"/>
      <c r="M126" s="72"/>
      <c r="N126" s="72"/>
    </row>
    <row r="127" spans="1:15" x14ac:dyDescent="0.3">
      <c r="A127" s="32">
        <v>46152</v>
      </c>
      <c r="B127" s="31">
        <f t="shared" si="23"/>
        <v>5</v>
      </c>
      <c r="C127" s="31">
        <f t="shared" si="18"/>
        <v>20</v>
      </c>
      <c r="D127" s="31">
        <v>11</v>
      </c>
      <c r="E127" s="31" t="str">
        <f>VLOOKUP(D127,姓名檔!$A$2:$G$159,4,0)</f>
        <v>Yu Mei Feng馮俞梅</v>
      </c>
      <c r="F127" s="31" t="s">
        <v>15</v>
      </c>
      <c r="G127" s="31" t="str">
        <f>VLOOKUP(F127,姓名檔!$H$3:$I$18,2)</f>
        <v>主日奉獻</v>
      </c>
      <c r="H127" s="31" t="str">
        <f>VLOOKUP(D127,姓名檔!$A$2:G$159,5,0)</f>
        <v>Bank of America</v>
      </c>
      <c r="I127" s="31">
        <v>1782</v>
      </c>
      <c r="J127" s="137">
        <v>100</v>
      </c>
      <c r="K127" s="31"/>
      <c r="L127" s="33"/>
      <c r="M127" s="72"/>
      <c r="N127" s="72"/>
    </row>
    <row r="128" spans="1:15" x14ac:dyDescent="0.3">
      <c r="A128" s="32">
        <v>46152</v>
      </c>
      <c r="B128" s="31">
        <f t="shared" si="23"/>
        <v>5</v>
      </c>
      <c r="C128" s="31">
        <f t="shared" si="18"/>
        <v>20</v>
      </c>
      <c r="D128" s="31">
        <v>8</v>
      </c>
      <c r="E128" s="31" t="str">
        <f>VLOOKUP(D128,姓名檔!$A$2:$G$159,4,0)</f>
        <v>Christopher Liu Pamela Yu Liu</v>
      </c>
      <c r="F128" s="31" t="s">
        <v>15</v>
      </c>
      <c r="G128" s="31" t="str">
        <f>VLOOKUP(F128,姓名檔!$H$3:$I$18,2)</f>
        <v>主日奉獻</v>
      </c>
      <c r="H128" s="31" t="str">
        <f>VLOOKUP(D128,姓名檔!$A$2:G$159,5,0)</f>
        <v>Bank of America</v>
      </c>
      <c r="I128" s="31">
        <v>5545</v>
      </c>
      <c r="J128" s="137">
        <v>200</v>
      </c>
      <c r="K128" s="191">
        <v>46156</v>
      </c>
      <c r="L128" s="33">
        <f>SUM(J122:J128)</f>
        <v>843</v>
      </c>
      <c r="M128" s="72" t="s">
        <v>304</v>
      </c>
      <c r="N128" s="73"/>
    </row>
    <row r="129" spans="1:15" x14ac:dyDescent="0.3">
      <c r="A129" s="9">
        <v>46159</v>
      </c>
      <c r="B129" s="10">
        <f t="shared" si="23"/>
        <v>5</v>
      </c>
      <c r="C129" s="10">
        <f t="shared" si="18"/>
        <v>21</v>
      </c>
      <c r="D129" s="10">
        <v>45</v>
      </c>
      <c r="E129" s="10" t="str">
        <f>VLOOKUP(D129,姓名檔!$A$2:$G$159,4,0)</f>
        <v>Dong Fang Li李東方</v>
      </c>
      <c r="F129" s="10" t="s">
        <v>15</v>
      </c>
      <c r="G129" s="10" t="str">
        <f>VLOOKUP(F129,姓名檔!$H$3:$I$18,2)</f>
        <v>主日奉獻</v>
      </c>
      <c r="H129" s="10">
        <f>VLOOKUP(D129,姓名檔!$A$2:G$159,5,0)</f>
        <v>0</v>
      </c>
      <c r="I129" s="10"/>
      <c r="J129" s="135">
        <v>9</v>
      </c>
      <c r="K129" s="192"/>
      <c r="L129" s="11"/>
      <c r="M129" s="72"/>
      <c r="N129" s="72"/>
    </row>
    <row r="130" spans="1:15" x14ac:dyDescent="0.3">
      <c r="A130" s="9">
        <v>46159</v>
      </c>
      <c r="B130" s="10">
        <f t="shared" si="23"/>
        <v>5</v>
      </c>
      <c r="C130" s="10">
        <f t="shared" si="18"/>
        <v>21</v>
      </c>
      <c r="D130" s="10">
        <v>9</v>
      </c>
      <c r="E130" s="10" t="str">
        <f>VLOOKUP(D130,姓名檔!$A$2:$G$159,4,0)</f>
        <v>Min Deng鄧敏 Sandy</v>
      </c>
      <c r="F130" s="10" t="s">
        <v>15</v>
      </c>
      <c r="G130" s="10" t="str">
        <f>VLOOKUP(F130,姓名檔!$H$3:$I$18,2)</f>
        <v>主日奉獻</v>
      </c>
      <c r="H130" s="10"/>
      <c r="I130" s="10"/>
      <c r="J130" s="135">
        <v>20</v>
      </c>
      <c r="K130" s="192"/>
      <c r="L130" s="11"/>
      <c r="M130" s="72"/>
      <c r="N130" s="72"/>
    </row>
    <row r="131" spans="1:15" x14ac:dyDescent="0.3">
      <c r="A131" s="9">
        <v>46159</v>
      </c>
      <c r="B131" s="10">
        <f t="shared" si="23"/>
        <v>5</v>
      </c>
      <c r="C131" s="10">
        <f t="shared" ref="C131:C182" si="27">WEEKNUM(A131)</f>
        <v>21</v>
      </c>
      <c r="D131" s="193">
        <v>120</v>
      </c>
      <c r="E131" s="193" t="s">
        <v>296</v>
      </c>
      <c r="F131" s="10" t="s">
        <v>15</v>
      </c>
      <c r="G131" s="10" t="str">
        <f>VLOOKUP(F131,姓名檔!$H$3:$I$18,2)</f>
        <v>主日奉獻</v>
      </c>
      <c r="H131" s="10">
        <f>VLOOKUP(D131,姓名檔!$A$2:G$159,5,0)</f>
        <v>0</v>
      </c>
      <c r="I131" s="10"/>
      <c r="J131" s="135">
        <v>150</v>
      </c>
      <c r="K131" s="192"/>
      <c r="L131" s="11"/>
      <c r="M131" s="72"/>
      <c r="N131" s="72"/>
    </row>
    <row r="132" spans="1:15" x14ac:dyDescent="0.3">
      <c r="A132" s="9">
        <v>46159</v>
      </c>
      <c r="B132" s="10">
        <f t="shared" si="23"/>
        <v>5</v>
      </c>
      <c r="C132" s="10">
        <f t="shared" si="27"/>
        <v>21</v>
      </c>
      <c r="D132" s="10">
        <v>20</v>
      </c>
      <c r="E132" s="10" t="str">
        <f>VLOOKUP(D132,姓名檔!$A$2:$G$159,4,0)</f>
        <v>不具名</v>
      </c>
      <c r="F132" s="10" t="s">
        <v>15</v>
      </c>
      <c r="G132" s="10" t="str">
        <f>VLOOKUP(F132,姓名檔!$H$3:$I$18,2)</f>
        <v>主日奉獻</v>
      </c>
      <c r="H132" s="10">
        <f>VLOOKUP(D132,姓名檔!$A$2:G$159,5,0)</f>
        <v>0</v>
      </c>
      <c r="I132" s="10"/>
      <c r="J132" s="135">
        <v>112</v>
      </c>
      <c r="K132" s="192"/>
      <c r="L132" s="11"/>
      <c r="M132" s="72"/>
      <c r="N132" s="72"/>
    </row>
    <row r="133" spans="1:15" x14ac:dyDescent="0.3">
      <c r="A133" s="9">
        <v>46159</v>
      </c>
      <c r="B133" s="10">
        <f t="shared" si="23"/>
        <v>5</v>
      </c>
      <c r="C133" s="10">
        <f t="shared" si="27"/>
        <v>21</v>
      </c>
      <c r="D133" s="193">
        <v>120</v>
      </c>
      <c r="E133" s="193" t="s">
        <v>297</v>
      </c>
      <c r="F133" s="10" t="s">
        <v>15</v>
      </c>
      <c r="G133" s="10" t="str">
        <f>VLOOKUP(F133,姓名檔!$H$3:$I$18,2)</f>
        <v>主日奉獻</v>
      </c>
      <c r="H133" s="10" t="s">
        <v>298</v>
      </c>
      <c r="I133" s="10">
        <v>3129</v>
      </c>
      <c r="J133" s="135">
        <v>1000</v>
      </c>
      <c r="K133" s="192"/>
      <c r="L133" s="11"/>
      <c r="M133" s="72"/>
      <c r="N133" s="72"/>
    </row>
    <row r="134" spans="1:15" x14ac:dyDescent="0.3">
      <c r="A134" s="9">
        <v>46159</v>
      </c>
      <c r="B134" s="10">
        <f t="shared" si="23"/>
        <v>5</v>
      </c>
      <c r="C134" s="10">
        <f t="shared" si="27"/>
        <v>21</v>
      </c>
      <c r="D134" s="10">
        <v>18</v>
      </c>
      <c r="E134" s="10" t="str">
        <f>VLOOKUP(D134,姓名檔!$A$2:$G$159,4,0)</f>
        <v>Yan Cheng程雁</v>
      </c>
      <c r="F134" s="10" t="s">
        <v>15</v>
      </c>
      <c r="G134" s="10" t="str">
        <f>VLOOKUP(F134,姓名檔!$H$3:$I$18,2)</f>
        <v>主日奉獻</v>
      </c>
      <c r="H134" s="10" t="s">
        <v>295</v>
      </c>
      <c r="I134" s="10">
        <v>457</v>
      </c>
      <c r="J134" s="135">
        <v>200</v>
      </c>
      <c r="K134" s="192"/>
      <c r="L134" s="11"/>
      <c r="M134" s="72"/>
      <c r="N134" s="72"/>
    </row>
    <row r="135" spans="1:15" x14ac:dyDescent="0.3">
      <c r="A135" s="9">
        <v>46159</v>
      </c>
      <c r="B135" s="10">
        <f t="shared" si="23"/>
        <v>5</v>
      </c>
      <c r="C135" s="10">
        <f t="shared" si="27"/>
        <v>21</v>
      </c>
      <c r="D135" s="10">
        <v>8</v>
      </c>
      <c r="E135" s="10" t="str">
        <f>VLOOKUP(D135,姓名檔!$A$2:$G$159,4,0)</f>
        <v>Christopher Liu Pamela Yu Liu</v>
      </c>
      <c r="F135" s="10" t="s">
        <v>15</v>
      </c>
      <c r="G135" s="10" t="str">
        <f>VLOOKUP(F135,姓名檔!$H$3:$I$18,2)</f>
        <v>主日奉獻</v>
      </c>
      <c r="H135" s="10" t="str">
        <f>VLOOKUP(D135,姓名檔!$A$2:G$159,5,0)</f>
        <v>Bank of America</v>
      </c>
      <c r="I135" s="10">
        <v>5547</v>
      </c>
      <c r="J135" s="135">
        <v>200</v>
      </c>
      <c r="K135" s="192"/>
      <c r="L135" s="11"/>
      <c r="M135" s="72"/>
      <c r="N135" s="72"/>
    </row>
    <row r="136" spans="1:15" x14ac:dyDescent="0.3">
      <c r="A136" s="9">
        <v>46159</v>
      </c>
      <c r="B136" s="10">
        <f t="shared" si="23"/>
        <v>5</v>
      </c>
      <c r="C136" s="10">
        <f t="shared" si="27"/>
        <v>21</v>
      </c>
      <c r="D136" s="10">
        <v>41</v>
      </c>
      <c r="E136" s="10" t="str">
        <f>VLOOKUP(D136,姓名檔!$A$2:$G$159,4,0)</f>
        <v>王思旭 Sixu Wang(王悅玲)</v>
      </c>
      <c r="F136" s="10" t="s">
        <v>15</v>
      </c>
      <c r="G136" s="10" t="str">
        <f>VLOOKUP(F136,姓名檔!$H$3:$I$18,2)</f>
        <v>主日奉獻</v>
      </c>
      <c r="H136" s="10" t="str">
        <f>VLOOKUP(D136,姓名檔!$A$2:G$159,5,0)</f>
        <v>Bank of America</v>
      </c>
      <c r="I136" s="10">
        <v>1357</v>
      </c>
      <c r="J136" s="135">
        <v>100</v>
      </c>
      <c r="K136" s="192">
        <v>46160</v>
      </c>
      <c r="L136" s="11">
        <f>SUM(J129:J136)</f>
        <v>1791</v>
      </c>
      <c r="M136" s="72" t="s">
        <v>304</v>
      </c>
      <c r="N136" s="72"/>
    </row>
    <row r="137" spans="1:15" x14ac:dyDescent="0.3">
      <c r="A137" s="27">
        <v>46166</v>
      </c>
      <c r="B137" s="28">
        <f t="shared" si="23"/>
        <v>5</v>
      </c>
      <c r="C137" s="28">
        <f t="shared" si="27"/>
        <v>22</v>
      </c>
      <c r="D137" s="28">
        <v>26</v>
      </c>
      <c r="E137" s="28" t="str">
        <f>VLOOKUP(D137,姓名檔!$A$2:$G$159,4,0)</f>
        <v>Yvonne Chi-Ping Lan &amp; Ming Lei Yeh</v>
      </c>
      <c r="F137" s="28" t="s">
        <v>15</v>
      </c>
      <c r="G137" s="28" t="str">
        <f>VLOOKUP(F137,姓名檔!$H$3:$I$18,2)</f>
        <v>主日奉獻</v>
      </c>
      <c r="H137" s="28"/>
      <c r="I137" s="28"/>
      <c r="J137" s="140">
        <v>100</v>
      </c>
      <c r="K137" s="189"/>
      <c r="L137" s="29"/>
      <c r="M137" s="72"/>
      <c r="N137" s="72"/>
    </row>
    <row r="138" spans="1:15" x14ac:dyDescent="0.3">
      <c r="A138" s="27">
        <v>46166</v>
      </c>
      <c r="B138" s="28">
        <f t="shared" si="23"/>
        <v>5</v>
      </c>
      <c r="C138" s="28">
        <f t="shared" si="27"/>
        <v>22</v>
      </c>
      <c r="D138" s="148" t="s">
        <v>299</v>
      </c>
      <c r="E138" s="28" t="str">
        <f>VLOOKUP(D138,姓名檔!$A$2:$G$159,4,0)</f>
        <v>劉珈因Lau Ka Yan(Renee)</v>
      </c>
      <c r="F138" s="28" t="s">
        <v>15</v>
      </c>
      <c r="G138" s="28" t="str">
        <f>VLOOKUP(F138,姓名檔!$H$3:$I$18,2)</f>
        <v>主日奉獻</v>
      </c>
      <c r="H138" s="28">
        <f>VLOOKUP(D138,姓名檔!$A$2:G$159,5,0)</f>
        <v>0</v>
      </c>
      <c r="I138" s="28"/>
      <c r="J138" s="140">
        <v>100</v>
      </c>
      <c r="K138" s="189"/>
      <c r="L138" s="29"/>
      <c r="M138" s="73"/>
      <c r="N138" s="72"/>
      <c r="O138" s="45"/>
    </row>
    <row r="139" spans="1:15" x14ac:dyDescent="0.3">
      <c r="A139" s="27">
        <v>46166</v>
      </c>
      <c r="B139" s="28">
        <f t="shared" si="23"/>
        <v>5</v>
      </c>
      <c r="C139" s="28">
        <f t="shared" si="27"/>
        <v>22</v>
      </c>
      <c r="D139" s="28">
        <v>46</v>
      </c>
      <c r="E139" s="28" t="str">
        <f>VLOOKUP(D139,姓名檔!$A$2:$G$159,4,0)</f>
        <v>Liya Xia</v>
      </c>
      <c r="F139" s="28" t="s">
        <v>15</v>
      </c>
      <c r="G139" s="28" t="str">
        <f>VLOOKUP(F139,姓名檔!$H$3:$I$18,2)</f>
        <v>主日奉獻</v>
      </c>
      <c r="H139" s="28">
        <f>VLOOKUP(D139,姓名檔!$A$2:G$159,5,0)</f>
        <v>0</v>
      </c>
      <c r="I139" s="28"/>
      <c r="J139" s="140">
        <v>50</v>
      </c>
      <c r="K139" s="30"/>
      <c r="L139" s="29"/>
      <c r="M139" s="72"/>
      <c r="N139" s="72"/>
      <c r="O139" s="43"/>
    </row>
    <row r="140" spans="1:15" x14ac:dyDescent="0.3">
      <c r="A140" s="27">
        <v>46166</v>
      </c>
      <c r="B140" s="28">
        <f t="shared" si="23"/>
        <v>5</v>
      </c>
      <c r="C140" s="28">
        <f t="shared" si="27"/>
        <v>22</v>
      </c>
      <c r="D140" s="28">
        <v>20</v>
      </c>
      <c r="E140" s="28" t="str">
        <f>VLOOKUP(D140,姓名檔!$A$2:$G$159,4,0)</f>
        <v>不具名</v>
      </c>
      <c r="F140" s="28" t="s">
        <v>15</v>
      </c>
      <c r="G140" s="28" t="str">
        <f>VLOOKUP(F140,姓名檔!$H$3:$I$18,2)</f>
        <v>主日奉獻</v>
      </c>
      <c r="H140" s="28">
        <f>VLOOKUP(D140,姓名檔!$A$2:G$159,5,0)</f>
        <v>0</v>
      </c>
      <c r="I140" s="28"/>
      <c r="J140" s="140">
        <v>12</v>
      </c>
      <c r="K140" s="30"/>
      <c r="L140" s="29"/>
      <c r="M140" s="72"/>
      <c r="N140" s="72"/>
      <c r="O140" s="43"/>
    </row>
    <row r="141" spans="1:15" x14ac:dyDescent="0.3">
      <c r="A141" s="27">
        <v>46166</v>
      </c>
      <c r="B141" s="28">
        <f t="shared" si="23"/>
        <v>5</v>
      </c>
      <c r="C141" s="28">
        <f t="shared" si="27"/>
        <v>22</v>
      </c>
      <c r="D141" s="28">
        <v>11</v>
      </c>
      <c r="E141" s="28" t="str">
        <f>VLOOKUP(D141,姓名檔!$A$2:$G$159,4,0)</f>
        <v>Yu Mei Feng馮俞梅</v>
      </c>
      <c r="F141" s="28" t="s">
        <v>15</v>
      </c>
      <c r="G141" s="28" t="str">
        <f>VLOOKUP(F141,姓名檔!$H$3:$I$18,2)</f>
        <v>主日奉獻</v>
      </c>
      <c r="H141" s="28" t="str">
        <f>VLOOKUP(D141,姓名檔!$A$2:G$159,5,0)</f>
        <v>Bank of America</v>
      </c>
      <c r="I141" s="28">
        <v>1783</v>
      </c>
      <c r="J141" s="140">
        <v>100</v>
      </c>
      <c r="K141" s="30"/>
      <c r="L141" s="29"/>
      <c r="M141" s="72"/>
      <c r="N141" s="72"/>
      <c r="O141" s="43"/>
    </row>
    <row r="142" spans="1:15" x14ac:dyDescent="0.3">
      <c r="A142" s="27">
        <v>46166</v>
      </c>
      <c r="B142" s="28">
        <f t="shared" si="23"/>
        <v>5</v>
      </c>
      <c r="C142" s="28">
        <f t="shared" si="27"/>
        <v>22</v>
      </c>
      <c r="D142" s="28">
        <v>41</v>
      </c>
      <c r="E142" s="28" t="str">
        <f>VLOOKUP(D142,姓名檔!$A$2:$G$159,4,0)</f>
        <v>王思旭 Sixu Wang(王悅玲)</v>
      </c>
      <c r="F142" s="28" t="s">
        <v>15</v>
      </c>
      <c r="G142" s="28" t="str">
        <f>VLOOKUP(F142,姓名檔!$H$3:$I$18,2)</f>
        <v>主日奉獻</v>
      </c>
      <c r="H142" s="28" t="str">
        <f>VLOOKUP(D142,姓名檔!$A$2:G$159,5,0)</f>
        <v>Bank of America</v>
      </c>
      <c r="I142" s="28">
        <v>1358</v>
      </c>
      <c r="J142" s="140">
        <v>100</v>
      </c>
      <c r="K142" s="30"/>
      <c r="L142" s="29"/>
      <c r="M142" s="72"/>
      <c r="N142" s="72"/>
      <c r="O142" s="43"/>
    </row>
    <row r="143" spans="1:15" x14ac:dyDescent="0.3">
      <c r="A143" s="27">
        <v>46166</v>
      </c>
      <c r="B143" s="28">
        <f t="shared" si="23"/>
        <v>5</v>
      </c>
      <c r="C143" s="28">
        <f t="shared" si="27"/>
        <v>22</v>
      </c>
      <c r="D143" s="28">
        <v>8</v>
      </c>
      <c r="E143" s="28" t="str">
        <f>VLOOKUP(D143,姓名檔!$A$2:$G$159,4,0)</f>
        <v>Christopher Liu Pamela Yu Liu</v>
      </c>
      <c r="F143" s="28" t="s">
        <v>15</v>
      </c>
      <c r="G143" s="28" t="str">
        <f>VLOOKUP(F143,姓名檔!$H$3:$I$18,2)</f>
        <v>主日奉獻</v>
      </c>
      <c r="H143" s="28" t="str">
        <f>VLOOKUP(D143,姓名檔!$A$2:G$159,5,0)</f>
        <v>Bank of America</v>
      </c>
      <c r="I143" s="28">
        <v>5546</v>
      </c>
      <c r="J143" s="140">
        <v>200</v>
      </c>
      <c r="K143" s="30">
        <v>46168</v>
      </c>
      <c r="L143" s="29">
        <f>SUM(J137:J143)</f>
        <v>662</v>
      </c>
      <c r="M143" s="72" t="s">
        <v>305</v>
      </c>
      <c r="N143" s="72"/>
      <c r="O143" s="43"/>
    </row>
    <row r="144" spans="1:15" x14ac:dyDescent="0.3">
      <c r="A144" s="13">
        <v>46173</v>
      </c>
      <c r="B144" s="14">
        <f t="shared" si="23"/>
        <v>5</v>
      </c>
      <c r="C144" s="14">
        <f t="shared" si="27"/>
        <v>23</v>
      </c>
      <c r="D144" s="14">
        <v>20</v>
      </c>
      <c r="E144" s="14" t="str">
        <f>VLOOKUP(D144,姓名檔!$A$2:$G$159,4,0)</f>
        <v>不具名</v>
      </c>
      <c r="F144" s="14" t="s">
        <v>15</v>
      </c>
      <c r="G144" s="14" t="str">
        <f>VLOOKUP(F144,姓名檔!$H$3:$I$18,2)</f>
        <v>主日奉獻</v>
      </c>
      <c r="H144" s="14">
        <f>VLOOKUP(D144,姓名檔!$A$2:G$159,5,0)</f>
        <v>0</v>
      </c>
      <c r="I144" s="14"/>
      <c r="J144" s="138">
        <v>44</v>
      </c>
      <c r="K144" s="16"/>
      <c r="L144" s="15"/>
      <c r="M144" s="72"/>
      <c r="N144" s="72"/>
      <c r="O144" s="43"/>
    </row>
    <row r="145" spans="1:15" x14ac:dyDescent="0.3">
      <c r="A145" s="13">
        <v>46173</v>
      </c>
      <c r="B145" s="14">
        <f t="shared" si="23"/>
        <v>5</v>
      </c>
      <c r="C145" s="14">
        <f t="shared" si="27"/>
        <v>23</v>
      </c>
      <c r="D145" s="14">
        <v>40</v>
      </c>
      <c r="E145" s="14" t="str">
        <f>VLOOKUP(D145,姓名檔!$A$2:$G$159,4,0)</f>
        <v>Suk Kuen Chan Lo Pastor Rainbow</v>
      </c>
      <c r="F145" s="14" t="s">
        <v>15</v>
      </c>
      <c r="G145" s="14" t="str">
        <f>VLOOKUP(F145,姓名檔!$H$3:$I$18,2)</f>
        <v>主日奉獻</v>
      </c>
      <c r="H145" s="14" t="str">
        <f>VLOOKUP(D145,姓名檔!$A$2:G$159,5,0)</f>
        <v>Bank of America</v>
      </c>
      <c r="I145" s="14">
        <v>2623</v>
      </c>
      <c r="J145" s="138">
        <v>100</v>
      </c>
      <c r="K145" s="14"/>
      <c r="L145" s="15"/>
      <c r="M145" s="72"/>
      <c r="N145" s="72"/>
    </row>
    <row r="146" spans="1:15" x14ac:dyDescent="0.3">
      <c r="A146" s="13">
        <v>46173</v>
      </c>
      <c r="B146" s="14">
        <f t="shared" ref="B146:B181" si="28">MONTH(A146)</f>
        <v>5</v>
      </c>
      <c r="C146" s="14">
        <f t="shared" si="27"/>
        <v>23</v>
      </c>
      <c r="D146" s="14">
        <v>8</v>
      </c>
      <c r="E146" s="14" t="str">
        <f>VLOOKUP(D146,姓名檔!$A$2:$G$159,4,0)</f>
        <v>Christopher Liu Pamela Yu Liu</v>
      </c>
      <c r="F146" s="14" t="s">
        <v>15</v>
      </c>
      <c r="G146" s="14" t="str">
        <f>VLOOKUP(F146,姓名檔!$H$3:$I$18,2)</f>
        <v>主日奉獻</v>
      </c>
      <c r="H146" s="14" t="str">
        <f>VLOOKUP(D146,姓名檔!$A$2:G$159,5,0)</f>
        <v>Bank of America</v>
      </c>
      <c r="I146" s="14">
        <v>5548</v>
      </c>
      <c r="J146" s="138">
        <v>200</v>
      </c>
      <c r="K146" s="16"/>
      <c r="L146" s="15"/>
      <c r="M146" s="72"/>
      <c r="N146" s="72"/>
    </row>
    <row r="147" spans="1:15" x14ac:dyDescent="0.3">
      <c r="A147" s="13">
        <v>46173</v>
      </c>
      <c r="B147" s="14">
        <f t="shared" si="28"/>
        <v>5</v>
      </c>
      <c r="C147" s="14">
        <f t="shared" si="27"/>
        <v>23</v>
      </c>
      <c r="D147" s="14">
        <v>47</v>
      </c>
      <c r="E147" s="14" t="str">
        <f>VLOOKUP(D147,姓名檔!$A$2:$G$159,4,0)</f>
        <v>Hong Wang王宏</v>
      </c>
      <c r="F147" s="14" t="s">
        <v>15</v>
      </c>
      <c r="G147" s="14" t="str">
        <f>VLOOKUP(F147,姓名檔!$H$3:$I$18,2)</f>
        <v>主日奉獻</v>
      </c>
      <c r="H147" s="14" t="str">
        <f>VLOOKUP(D147,姓名檔!$A$2:G$159,5,0)</f>
        <v>Bank of America</v>
      </c>
      <c r="I147" s="14">
        <v>3095</v>
      </c>
      <c r="J147" s="138">
        <v>200</v>
      </c>
      <c r="K147" s="14"/>
      <c r="L147" s="15"/>
      <c r="M147" s="72" t="s">
        <v>306</v>
      </c>
      <c r="N147" s="72"/>
    </row>
    <row r="148" spans="1:15" x14ac:dyDescent="0.3">
      <c r="A148" s="13">
        <v>46173</v>
      </c>
      <c r="B148" s="14">
        <f t="shared" si="28"/>
        <v>5</v>
      </c>
      <c r="C148" s="14">
        <f t="shared" si="27"/>
        <v>23</v>
      </c>
      <c r="D148" s="14">
        <v>41</v>
      </c>
      <c r="E148" s="14" t="str">
        <f>VLOOKUP(D148,姓名檔!$A$2:$G$159,4,0)</f>
        <v>王思旭 Sixu Wang(王悅玲)</v>
      </c>
      <c r="F148" s="14" t="s">
        <v>15</v>
      </c>
      <c r="G148" s="14" t="str">
        <f>VLOOKUP(F148,姓名檔!$H$3:$I$18,2)</f>
        <v>主日奉獻</v>
      </c>
      <c r="H148" s="14" t="str">
        <f>VLOOKUP(D148,姓名檔!$A$2:G$159,5,0)</f>
        <v>Bank of America</v>
      </c>
      <c r="I148" s="14">
        <v>1359</v>
      </c>
      <c r="J148" s="138">
        <v>200</v>
      </c>
      <c r="K148" s="16">
        <v>46178</v>
      </c>
      <c r="L148" s="15">
        <f>SUM(J144:J148)</f>
        <v>744</v>
      </c>
      <c r="M148" s="73">
        <f>SUM(L121:L148)</f>
        <v>5200</v>
      </c>
      <c r="N148" s="72"/>
    </row>
    <row r="149" spans="1:15" x14ac:dyDescent="0.3">
      <c r="A149" s="194">
        <v>46180</v>
      </c>
      <c r="B149" s="195">
        <f t="shared" si="28"/>
        <v>6</v>
      </c>
      <c r="C149" s="195">
        <f t="shared" si="27"/>
        <v>24</v>
      </c>
      <c r="D149" s="195">
        <v>46</v>
      </c>
      <c r="E149" s="195" t="str">
        <f>VLOOKUP(D149,姓名檔!$A$2:$G$159,4,0)</f>
        <v>Liya Xia</v>
      </c>
      <c r="F149" s="195" t="s">
        <v>15</v>
      </c>
      <c r="G149" s="195" t="str">
        <f>VLOOKUP(F149,姓名檔!$H$3:$I$18,2)</f>
        <v>主日奉獻</v>
      </c>
      <c r="H149" s="195">
        <f>VLOOKUP(D149,姓名檔!$A$2:G$159,5,0)</f>
        <v>0</v>
      </c>
      <c r="I149" s="195"/>
      <c r="J149" s="196">
        <v>200</v>
      </c>
      <c r="K149" s="195"/>
      <c r="L149" s="197"/>
      <c r="M149" s="72"/>
      <c r="N149" s="72"/>
    </row>
    <row r="150" spans="1:15" x14ac:dyDescent="0.3">
      <c r="A150" s="194">
        <v>46180</v>
      </c>
      <c r="B150" s="195">
        <f t="shared" si="28"/>
        <v>6</v>
      </c>
      <c r="C150" s="195">
        <f t="shared" si="27"/>
        <v>24</v>
      </c>
      <c r="D150" s="195">
        <v>18</v>
      </c>
      <c r="E150" s="195" t="str">
        <f>VLOOKUP(D150,姓名檔!$A$2:$G$159,4,0)</f>
        <v>Yan Cheng程雁</v>
      </c>
      <c r="F150" s="195" t="s">
        <v>15</v>
      </c>
      <c r="G150" s="195" t="str">
        <f>VLOOKUP(F150,姓名檔!$H$3:$I$18,2)</f>
        <v>主日奉獻</v>
      </c>
      <c r="H150" s="195"/>
      <c r="I150" s="195"/>
      <c r="J150" s="196">
        <v>300</v>
      </c>
      <c r="K150" s="195"/>
      <c r="L150" s="197"/>
      <c r="M150" s="72"/>
      <c r="N150" s="72"/>
    </row>
    <row r="151" spans="1:15" x14ac:dyDescent="0.3">
      <c r="A151" s="194">
        <v>46180</v>
      </c>
      <c r="B151" s="195">
        <f t="shared" si="28"/>
        <v>6</v>
      </c>
      <c r="C151" s="195">
        <f t="shared" si="27"/>
        <v>24</v>
      </c>
      <c r="D151" s="198" t="s">
        <v>300</v>
      </c>
      <c r="E151" s="195" t="str">
        <f>VLOOKUP(D151,姓名檔!$A$2:$G$159,4,0)</f>
        <v>劉珈因Lau Ka Yan(Renee)</v>
      </c>
      <c r="F151" s="195" t="s">
        <v>15</v>
      </c>
      <c r="G151" s="195" t="str">
        <f>VLOOKUP(F151,姓名檔!$H$3:$I$18,2)</f>
        <v>主日奉獻</v>
      </c>
      <c r="H151" s="195">
        <f>VLOOKUP(D151,姓名檔!$A$2:G$159,5,0)</f>
        <v>0</v>
      </c>
      <c r="I151" s="195"/>
      <c r="J151" s="196">
        <v>100</v>
      </c>
      <c r="K151" s="199"/>
      <c r="L151" s="197"/>
      <c r="M151" s="72"/>
      <c r="N151" s="72"/>
    </row>
    <row r="152" spans="1:15" x14ac:dyDescent="0.3">
      <c r="A152" s="194">
        <v>46180</v>
      </c>
      <c r="B152" s="195">
        <f t="shared" si="28"/>
        <v>6</v>
      </c>
      <c r="C152" s="195">
        <f t="shared" si="27"/>
        <v>24</v>
      </c>
      <c r="D152" s="195">
        <v>9</v>
      </c>
      <c r="E152" s="195" t="str">
        <f>VLOOKUP(D152,姓名檔!$A$2:$G$159,4,0)</f>
        <v>Min Deng鄧敏 Sandy</v>
      </c>
      <c r="F152" s="195" t="s">
        <v>15</v>
      </c>
      <c r="G152" s="195" t="str">
        <f>VLOOKUP(F152,姓名檔!$H$3:$I$18,2)</f>
        <v>主日奉獻</v>
      </c>
      <c r="H152" s="195"/>
      <c r="I152" s="195"/>
      <c r="J152" s="196">
        <v>20</v>
      </c>
      <c r="K152" s="195"/>
      <c r="L152" s="197"/>
      <c r="M152" s="72"/>
      <c r="N152" s="72"/>
    </row>
    <row r="153" spans="1:15" x14ac:dyDescent="0.3">
      <c r="A153" s="194">
        <v>46180</v>
      </c>
      <c r="B153" s="195">
        <f t="shared" si="28"/>
        <v>6</v>
      </c>
      <c r="C153" s="195">
        <f t="shared" si="27"/>
        <v>24</v>
      </c>
      <c r="D153" s="195">
        <v>20</v>
      </c>
      <c r="E153" s="195" t="str">
        <f>VLOOKUP(D153,姓名檔!$A$2:$G$159,4,0)</f>
        <v>不具名</v>
      </c>
      <c r="F153" s="195" t="s">
        <v>15</v>
      </c>
      <c r="G153" s="195" t="str">
        <f>VLOOKUP(F153,姓名檔!$H$3:$I$18,2)</f>
        <v>主日奉獻</v>
      </c>
      <c r="H153" s="195">
        <f>VLOOKUP(D153,姓名檔!$A$2:G$159,5,0)</f>
        <v>0</v>
      </c>
      <c r="I153" s="195"/>
      <c r="J153" s="196">
        <v>22</v>
      </c>
      <c r="K153" s="200"/>
      <c r="L153" s="197"/>
      <c r="M153" s="72"/>
      <c r="N153" s="72"/>
      <c r="O153" s="45"/>
    </row>
    <row r="154" spans="1:15" x14ac:dyDescent="0.3">
      <c r="A154" s="194">
        <v>46180</v>
      </c>
      <c r="B154" s="195">
        <f t="shared" si="28"/>
        <v>6</v>
      </c>
      <c r="C154" s="195">
        <f t="shared" si="27"/>
        <v>24</v>
      </c>
      <c r="D154" s="195">
        <v>8</v>
      </c>
      <c r="E154" s="195" t="str">
        <f>VLOOKUP(D154,姓名檔!$A$2:$G$159,4,0)</f>
        <v>Christopher Liu Pamela Yu Liu</v>
      </c>
      <c r="F154" s="195" t="s">
        <v>15</v>
      </c>
      <c r="G154" s="195" t="str">
        <f>VLOOKUP(F154,姓名檔!$H$3:$I$18,2)</f>
        <v>主日奉獻</v>
      </c>
      <c r="H154" s="195" t="str">
        <f>VLOOKUP(D154,姓名檔!$A$2:G$159,5,0)</f>
        <v>Bank of America</v>
      </c>
      <c r="I154" s="195">
        <v>5549</v>
      </c>
      <c r="J154" s="196">
        <v>200</v>
      </c>
      <c r="K154" s="200"/>
      <c r="L154" s="197"/>
      <c r="M154" s="72"/>
      <c r="N154" s="73"/>
    </row>
    <row r="155" spans="1:15" x14ac:dyDescent="0.3">
      <c r="A155" s="194">
        <v>46180</v>
      </c>
      <c r="B155" s="195">
        <f t="shared" si="28"/>
        <v>6</v>
      </c>
      <c r="C155" s="195">
        <f t="shared" si="27"/>
        <v>24</v>
      </c>
      <c r="D155" s="195">
        <v>41</v>
      </c>
      <c r="E155" s="195" t="str">
        <f>VLOOKUP(D155,姓名檔!$A$2:$G$159,4,0)</f>
        <v>王思旭 Sixu Wang(王悅玲)</v>
      </c>
      <c r="F155" s="195" t="s">
        <v>15</v>
      </c>
      <c r="G155" s="195" t="str">
        <f>VLOOKUP(F155,姓名檔!$H$3:$I$18,2)</f>
        <v>主日奉獻</v>
      </c>
      <c r="H155" s="195" t="str">
        <f>VLOOKUP(D155,姓名檔!$A$2:G$159,5,0)</f>
        <v>Bank of America</v>
      </c>
      <c r="I155" s="195">
        <v>1360</v>
      </c>
      <c r="J155" s="196">
        <v>100</v>
      </c>
      <c r="K155" s="200"/>
      <c r="L155" s="197"/>
      <c r="M155" s="72"/>
      <c r="N155" s="72"/>
    </row>
    <row r="156" spans="1:15" x14ac:dyDescent="0.3">
      <c r="A156" s="194">
        <v>46180</v>
      </c>
      <c r="B156" s="195">
        <f t="shared" si="28"/>
        <v>6</v>
      </c>
      <c r="C156" s="195">
        <f t="shared" si="27"/>
        <v>24</v>
      </c>
      <c r="D156" s="195">
        <v>10</v>
      </c>
      <c r="E156" s="195" t="str">
        <f>VLOOKUP(D156,姓名檔!$A$2:$G$159,4,0)</f>
        <v>Yu Y Kang, Lie Chang Zhu</v>
      </c>
      <c r="F156" s="195" t="s">
        <v>15</v>
      </c>
      <c r="G156" s="195" t="str">
        <f>VLOOKUP(F156,姓名檔!$H$3:$I$18,2)</f>
        <v>主日奉獻</v>
      </c>
      <c r="H156" s="195" t="str">
        <f>VLOOKUP(D156,姓名檔!$A$2:G$159,5,0)</f>
        <v>Bank of America</v>
      </c>
      <c r="I156" s="195">
        <v>139</v>
      </c>
      <c r="J156" s="196">
        <v>100</v>
      </c>
      <c r="K156" s="200">
        <v>46183</v>
      </c>
      <c r="L156" s="197">
        <f>SUM(J149:J156)</f>
        <v>1042</v>
      </c>
      <c r="M156" s="72" t="s">
        <v>313</v>
      </c>
      <c r="N156" s="72"/>
    </row>
    <row r="157" spans="1:15" x14ac:dyDescent="0.3">
      <c r="A157" s="38">
        <v>46187</v>
      </c>
      <c r="B157" s="39">
        <f t="shared" si="28"/>
        <v>6</v>
      </c>
      <c r="C157" s="39">
        <f t="shared" si="27"/>
        <v>25</v>
      </c>
      <c r="D157" s="39">
        <v>2</v>
      </c>
      <c r="E157" s="39" t="str">
        <f>VLOOKUP(D157,姓名檔!$A$2:$G$159,4,0)</f>
        <v>喬阿姨Yen Pin Liu Chiao</v>
      </c>
      <c r="F157" s="39" t="s">
        <v>15</v>
      </c>
      <c r="G157" s="39" t="str">
        <f>VLOOKUP(F157,姓名檔!$H$3:$I$18,2)</f>
        <v>主日奉獻</v>
      </c>
      <c r="H157" s="39"/>
      <c r="I157" s="39"/>
      <c r="J157" s="139">
        <v>200</v>
      </c>
      <c r="K157" s="201"/>
      <c r="L157" s="40"/>
      <c r="M157" s="72"/>
      <c r="N157" s="72"/>
    </row>
    <row r="158" spans="1:15" x14ac:dyDescent="0.3">
      <c r="A158" s="38">
        <v>46187</v>
      </c>
      <c r="B158" s="39">
        <f t="shared" si="28"/>
        <v>6</v>
      </c>
      <c r="C158" s="39">
        <f t="shared" si="27"/>
        <v>25</v>
      </c>
      <c r="D158" s="39">
        <v>18</v>
      </c>
      <c r="E158" s="39" t="str">
        <f>VLOOKUP(D158,姓名檔!$A$2:$G$159,4,0)</f>
        <v>Yan Cheng程雁</v>
      </c>
      <c r="F158" s="39" t="s">
        <v>15</v>
      </c>
      <c r="G158" s="39" t="str">
        <f>VLOOKUP(F158,姓名檔!$H$3:$I$18,2)</f>
        <v>主日奉獻</v>
      </c>
      <c r="H158" s="39"/>
      <c r="I158" s="39"/>
      <c r="J158" s="139">
        <v>200</v>
      </c>
      <c r="K158" s="201"/>
      <c r="L158" s="40"/>
      <c r="M158" s="72"/>
      <c r="N158" s="72"/>
      <c r="O158" s="45"/>
    </row>
    <row r="159" spans="1:15" x14ac:dyDescent="0.3">
      <c r="A159" s="38">
        <v>46187</v>
      </c>
      <c r="B159" s="39">
        <f t="shared" si="28"/>
        <v>6</v>
      </c>
      <c r="C159" s="39">
        <f t="shared" si="27"/>
        <v>25</v>
      </c>
      <c r="D159" s="39">
        <v>9</v>
      </c>
      <c r="E159" s="39" t="str">
        <f>VLOOKUP(D159,姓名檔!$A$2:$G$159,4,0)</f>
        <v>Min Deng鄧敏 Sandy</v>
      </c>
      <c r="F159" s="39" t="s">
        <v>15</v>
      </c>
      <c r="G159" s="39" t="str">
        <f>VLOOKUP(F159,姓名檔!$H$3:$I$18,2)</f>
        <v>主日奉獻</v>
      </c>
      <c r="H159" s="39"/>
      <c r="I159" s="39"/>
      <c r="J159" s="139">
        <v>20</v>
      </c>
      <c r="K159" s="201"/>
      <c r="L159" s="40"/>
      <c r="M159" s="72"/>
      <c r="N159" s="72"/>
    </row>
    <row r="160" spans="1:15" x14ac:dyDescent="0.3">
      <c r="A160" s="38">
        <v>46187</v>
      </c>
      <c r="B160" s="39">
        <f t="shared" si="28"/>
        <v>6</v>
      </c>
      <c r="C160" s="39">
        <f t="shared" si="27"/>
        <v>25</v>
      </c>
      <c r="D160" s="39">
        <v>12</v>
      </c>
      <c r="E160" s="39" t="str">
        <f>VLOOKUP(D160,姓名檔!$A$2:$G$159,4,0)</f>
        <v>Yu Hui Zhao趙宇輝 Yu Fei</v>
      </c>
      <c r="F160" s="39" t="s">
        <v>15</v>
      </c>
      <c r="G160" s="39" t="str">
        <f>VLOOKUP(F160,姓名檔!$H$3:$I$18,2)</f>
        <v>主日奉獻</v>
      </c>
      <c r="H160" s="39" t="str">
        <f>VLOOKUP(D160,姓名檔!$A$2:G$159,5,0)</f>
        <v>East West Bank</v>
      </c>
      <c r="I160" s="39"/>
      <c r="J160" s="139">
        <v>200</v>
      </c>
      <c r="K160" s="201"/>
      <c r="L160" s="40"/>
      <c r="M160" s="72"/>
      <c r="N160" s="72"/>
    </row>
    <row r="161" spans="1:15" x14ac:dyDescent="0.3">
      <c r="A161" s="38">
        <v>46187</v>
      </c>
      <c r="B161" s="39">
        <f t="shared" si="28"/>
        <v>6</v>
      </c>
      <c r="C161" s="39">
        <f t="shared" si="27"/>
        <v>25</v>
      </c>
      <c r="D161" s="39">
        <v>20</v>
      </c>
      <c r="E161" s="39" t="str">
        <f>VLOOKUP(D161,姓名檔!$A$2:$G$159,4,0)</f>
        <v>不具名</v>
      </c>
      <c r="F161" s="39" t="s">
        <v>15</v>
      </c>
      <c r="G161" s="39" t="str">
        <f>VLOOKUP(F161,姓名檔!$H$3:$I$18,2)</f>
        <v>主日奉獻</v>
      </c>
      <c r="H161" s="39">
        <f>VLOOKUP(D161,姓名檔!$A$2:G$159,5,0)</f>
        <v>0</v>
      </c>
      <c r="I161" s="39"/>
      <c r="J161" s="139">
        <v>23</v>
      </c>
      <c r="K161" s="201"/>
      <c r="L161" s="40"/>
      <c r="M161" s="72"/>
      <c r="N161" s="72"/>
    </row>
    <row r="162" spans="1:15" x14ac:dyDescent="0.3">
      <c r="A162" s="38">
        <v>46187</v>
      </c>
      <c r="B162" s="39">
        <f t="shared" si="28"/>
        <v>6</v>
      </c>
      <c r="C162" s="39">
        <f t="shared" si="27"/>
        <v>25</v>
      </c>
      <c r="D162" s="39">
        <v>7</v>
      </c>
      <c r="E162" s="39" t="str">
        <f>VLOOKUP(D162,姓名檔!$A$2:$G$159,4,0)</f>
        <v>林敏雄Mr.&amp;Mrs. Min-Shyong Lin</v>
      </c>
      <c r="F162" s="39" t="s">
        <v>15</v>
      </c>
      <c r="G162" s="39" t="str">
        <f>VLOOKUP(F162,姓名檔!$H$3:$I$18,2)</f>
        <v>主日奉獻</v>
      </c>
      <c r="H162" s="39" t="str">
        <f>VLOOKUP(D162,姓名檔!$A$2:G$159,5,0)</f>
        <v>Fidelity</v>
      </c>
      <c r="I162" s="39">
        <v>16585077</v>
      </c>
      <c r="J162" s="139">
        <v>1000</v>
      </c>
      <c r="K162" s="201"/>
      <c r="L162" s="40"/>
      <c r="M162" s="72"/>
      <c r="N162" s="72"/>
    </row>
    <row r="163" spans="1:15" x14ac:dyDescent="0.3">
      <c r="A163" s="38">
        <v>46187</v>
      </c>
      <c r="B163" s="39">
        <f t="shared" si="28"/>
        <v>6</v>
      </c>
      <c r="C163" s="39">
        <f t="shared" si="27"/>
        <v>25</v>
      </c>
      <c r="D163" s="39">
        <v>47</v>
      </c>
      <c r="E163" s="39" t="str">
        <f>VLOOKUP(D163,姓名檔!$A$2:$G$159,4,0)</f>
        <v>Hong Wang王宏</v>
      </c>
      <c r="F163" s="39" t="s">
        <v>15</v>
      </c>
      <c r="G163" s="39" t="str">
        <f>VLOOKUP(F163,姓名檔!$H$3:$I$18,2)</f>
        <v>主日奉獻</v>
      </c>
      <c r="H163" s="39" t="str">
        <f>VLOOKUP(D163,姓名檔!$A$2:G$159,5,0)</f>
        <v>Bank of America</v>
      </c>
      <c r="I163" s="39">
        <v>3096</v>
      </c>
      <c r="J163" s="139">
        <v>200</v>
      </c>
      <c r="K163" s="201"/>
      <c r="L163" s="40"/>
      <c r="M163" s="72"/>
      <c r="N163" s="72"/>
    </row>
    <row r="164" spans="1:15" x14ac:dyDescent="0.3">
      <c r="A164" s="38">
        <v>46187</v>
      </c>
      <c r="B164" s="39">
        <f t="shared" si="28"/>
        <v>6</v>
      </c>
      <c r="C164" s="39">
        <f t="shared" si="27"/>
        <v>25</v>
      </c>
      <c r="D164" s="39">
        <v>13</v>
      </c>
      <c r="E164" s="39" t="str">
        <f>VLOOKUP(D164,姓名檔!$A$2:$G$159,4,0)</f>
        <v>Ed &amp;Allison Lee</v>
      </c>
      <c r="F164" s="39" t="s">
        <v>15</v>
      </c>
      <c r="G164" s="39" t="str">
        <f>VLOOKUP(F164,姓名檔!$H$3:$I$18,2)</f>
        <v>主日奉獻</v>
      </c>
      <c r="H164" s="39" t="str">
        <f>VLOOKUP(D164,姓名檔!$A$2:G$159,5,0)</f>
        <v>US Bank</v>
      </c>
      <c r="I164" s="39">
        <v>9850</v>
      </c>
      <c r="J164" s="139">
        <v>200</v>
      </c>
      <c r="K164" s="201"/>
      <c r="L164" s="40"/>
      <c r="M164" s="72"/>
      <c r="N164" s="72"/>
      <c r="O164" s="45"/>
    </row>
    <row r="165" spans="1:15" x14ac:dyDescent="0.3">
      <c r="A165" s="38">
        <v>46187</v>
      </c>
      <c r="B165" s="39">
        <f t="shared" si="28"/>
        <v>6</v>
      </c>
      <c r="C165" s="39">
        <f t="shared" si="27"/>
        <v>25</v>
      </c>
      <c r="D165" s="39">
        <v>8</v>
      </c>
      <c r="E165" s="39" t="str">
        <f>VLOOKUP(D165,姓名檔!$A$2:$G$159,4,0)</f>
        <v>Christopher Liu Pamela Yu Liu</v>
      </c>
      <c r="F165" s="39" t="s">
        <v>15</v>
      </c>
      <c r="G165" s="39" t="str">
        <f>VLOOKUP(F165,姓名檔!$H$3:$I$18,2)</f>
        <v>主日奉獻</v>
      </c>
      <c r="H165" s="39" t="str">
        <f>VLOOKUP(D165,姓名檔!$A$2:G$159,5,0)</f>
        <v>Bank of America</v>
      </c>
      <c r="I165" s="39">
        <v>5550</v>
      </c>
      <c r="J165" s="139">
        <v>200</v>
      </c>
      <c r="K165" s="201"/>
      <c r="L165" s="40"/>
      <c r="M165" s="72"/>
      <c r="N165" s="72"/>
    </row>
    <row r="166" spans="1:15" x14ac:dyDescent="0.3">
      <c r="A166" s="38">
        <v>46187</v>
      </c>
      <c r="B166" s="39">
        <f t="shared" si="28"/>
        <v>6</v>
      </c>
      <c r="C166" s="39">
        <f t="shared" si="27"/>
        <v>25</v>
      </c>
      <c r="D166" s="39">
        <v>26</v>
      </c>
      <c r="E166" s="39" t="str">
        <f>VLOOKUP(D166,姓名檔!$A$2:$G$159,4,0)</f>
        <v>Yvonne Chi-Ping Lan &amp; Ming Lei Yeh</v>
      </c>
      <c r="F166" s="39" t="s">
        <v>15</v>
      </c>
      <c r="G166" s="39" t="str">
        <f>VLOOKUP(F166,姓名檔!$H$3:$I$18,2)</f>
        <v>主日奉獻</v>
      </c>
      <c r="H166" s="39" t="s">
        <v>65</v>
      </c>
      <c r="I166" s="39">
        <v>354</v>
      </c>
      <c r="J166" s="139">
        <v>500</v>
      </c>
      <c r="K166" s="201">
        <v>46189</v>
      </c>
      <c r="L166" s="40">
        <f>SUM(J157:J166)</f>
        <v>2743</v>
      </c>
      <c r="M166" s="40" t="s">
        <v>314</v>
      </c>
      <c r="N166" s="72"/>
    </row>
    <row r="167" spans="1:15" x14ac:dyDescent="0.3">
      <c r="A167" s="32">
        <v>46194</v>
      </c>
      <c r="B167" s="31">
        <f t="shared" si="28"/>
        <v>6</v>
      </c>
      <c r="C167" s="31">
        <f t="shared" si="27"/>
        <v>26</v>
      </c>
      <c r="D167" s="31">
        <v>120</v>
      </c>
      <c r="E167" s="31" t="s">
        <v>302</v>
      </c>
      <c r="F167" s="31" t="s">
        <v>15</v>
      </c>
      <c r="G167" s="31" t="str">
        <f>VLOOKUP(F167,姓名檔!$H$3:$I$18,2)</f>
        <v>主日奉獻</v>
      </c>
      <c r="H167" s="31"/>
      <c r="I167" s="31"/>
      <c r="J167" s="137">
        <v>65</v>
      </c>
      <c r="K167" s="191"/>
      <c r="L167" s="33"/>
      <c r="M167" s="72"/>
      <c r="N167" s="72"/>
    </row>
    <row r="168" spans="1:15" x14ac:dyDescent="0.3">
      <c r="A168" s="32">
        <v>46194</v>
      </c>
      <c r="B168" s="31">
        <f t="shared" si="28"/>
        <v>6</v>
      </c>
      <c r="C168" s="31">
        <f t="shared" si="27"/>
        <v>26</v>
      </c>
      <c r="D168" s="31">
        <v>18</v>
      </c>
      <c r="E168" s="31" t="str">
        <f>VLOOKUP(D168,姓名檔!$A$2:$G$159,4,0)</f>
        <v>Yan Cheng程雁</v>
      </c>
      <c r="F168" s="31" t="s">
        <v>15</v>
      </c>
      <c r="G168" s="31" t="str">
        <f>VLOOKUP(F168,姓名檔!$H$3:$I$18,2)</f>
        <v>主日奉獻</v>
      </c>
      <c r="H168" s="31"/>
      <c r="I168" s="31"/>
      <c r="J168" s="137">
        <v>200</v>
      </c>
      <c r="K168" s="191"/>
      <c r="L168" s="33"/>
      <c r="M168" s="72"/>
      <c r="N168" s="72"/>
    </row>
    <row r="169" spans="1:15" x14ac:dyDescent="0.3">
      <c r="A169" s="32">
        <v>46194</v>
      </c>
      <c r="B169" s="31">
        <f t="shared" si="28"/>
        <v>6</v>
      </c>
      <c r="C169" s="31">
        <f t="shared" si="27"/>
        <v>26</v>
      </c>
      <c r="D169" s="31">
        <v>20</v>
      </c>
      <c r="E169" s="31" t="str">
        <f>VLOOKUP(D169,姓名檔!$A$2:$G$159,4,0)</f>
        <v>不具名</v>
      </c>
      <c r="F169" s="31" t="s">
        <v>15</v>
      </c>
      <c r="G169" s="31" t="str">
        <f>VLOOKUP(F169,姓名檔!$H$3:$I$18,2)</f>
        <v>主日奉獻</v>
      </c>
      <c r="H169" s="31">
        <f>VLOOKUP(D169,姓名檔!$A$2:G$159,5,0)</f>
        <v>0</v>
      </c>
      <c r="I169" s="31"/>
      <c r="J169" s="137">
        <v>19.8</v>
      </c>
      <c r="K169" s="191"/>
      <c r="L169" s="33"/>
      <c r="M169" s="72"/>
      <c r="N169" s="72"/>
    </row>
    <row r="170" spans="1:15" x14ac:dyDescent="0.3">
      <c r="A170" s="32">
        <v>46194</v>
      </c>
      <c r="B170" s="31">
        <f t="shared" si="28"/>
        <v>6</v>
      </c>
      <c r="C170" s="31">
        <f t="shared" si="27"/>
        <v>26</v>
      </c>
      <c r="D170" s="31">
        <v>41</v>
      </c>
      <c r="E170" s="31" t="str">
        <f>VLOOKUP(D170,姓名檔!$A$2:$G$159,4,0)</f>
        <v>王思旭 Sixu Wang(王悅玲)</v>
      </c>
      <c r="F170" s="31" t="s">
        <v>15</v>
      </c>
      <c r="G170" s="31" t="str">
        <f>VLOOKUP(F170,姓名檔!$H$3:$I$18,2)</f>
        <v>主日奉獻</v>
      </c>
      <c r="H170" s="31" t="str">
        <f>VLOOKUP(D170,姓名檔!$A$2:G$159,5,0)</f>
        <v>Bank of America</v>
      </c>
      <c r="I170" s="31">
        <v>1362</v>
      </c>
      <c r="J170" s="137">
        <v>200</v>
      </c>
      <c r="K170" s="191"/>
      <c r="L170" s="33"/>
      <c r="M170" s="72"/>
      <c r="N170" s="72"/>
    </row>
    <row r="171" spans="1:15" x14ac:dyDescent="0.3">
      <c r="A171" s="32">
        <v>46194</v>
      </c>
      <c r="B171" s="31">
        <f t="shared" si="28"/>
        <v>6</v>
      </c>
      <c r="C171" s="31">
        <f t="shared" si="27"/>
        <v>26</v>
      </c>
      <c r="D171" s="31">
        <v>11</v>
      </c>
      <c r="E171" s="31" t="str">
        <f>VLOOKUP(D171,姓名檔!$A$2:$G$159,4,0)</f>
        <v>Yu Mei Feng馮俞梅</v>
      </c>
      <c r="F171" s="31" t="s">
        <v>15</v>
      </c>
      <c r="G171" s="31" t="str">
        <f>VLOOKUP(F171,姓名檔!$H$3:$I$18,2)</f>
        <v>主日奉獻</v>
      </c>
      <c r="H171" s="31" t="str">
        <f>VLOOKUP(D171,姓名檔!$A$2:G$159,5,0)</f>
        <v>Bank of America</v>
      </c>
      <c r="I171" s="31">
        <v>1785</v>
      </c>
      <c r="J171" s="137">
        <v>100</v>
      </c>
      <c r="K171" s="191"/>
      <c r="L171" s="33"/>
      <c r="M171" s="72"/>
      <c r="N171" s="72"/>
    </row>
    <row r="172" spans="1:15" x14ac:dyDescent="0.3">
      <c r="A172" s="32">
        <v>46194</v>
      </c>
      <c r="B172" s="31">
        <f t="shared" si="28"/>
        <v>6</v>
      </c>
      <c r="C172" s="31">
        <f t="shared" si="27"/>
        <v>26</v>
      </c>
      <c r="D172" s="31">
        <v>25</v>
      </c>
      <c r="E172" s="31" t="str">
        <f>VLOOKUP(D172,姓名檔!$A$2:$G$159,4,0)</f>
        <v>胡穎Hu Ying</v>
      </c>
      <c r="F172" s="31" t="s">
        <v>15</v>
      </c>
      <c r="G172" s="31" t="str">
        <f>VLOOKUP(F172,姓名檔!$H$3:$I$18,2)</f>
        <v>主日奉獻</v>
      </c>
      <c r="H172" s="31" t="str">
        <f>VLOOKUP(D172,姓名檔!$A$2:G$159,5,0)</f>
        <v>First Tech</v>
      </c>
      <c r="I172" s="31">
        <v>1512</v>
      </c>
      <c r="J172" s="137">
        <v>100</v>
      </c>
      <c r="K172" s="191"/>
      <c r="L172" s="33"/>
      <c r="M172" s="73"/>
      <c r="N172" s="72"/>
    </row>
    <row r="173" spans="1:15" x14ac:dyDescent="0.3">
      <c r="A173" s="32">
        <v>46194</v>
      </c>
      <c r="B173" s="31">
        <f t="shared" si="28"/>
        <v>6</v>
      </c>
      <c r="C173" s="31">
        <f t="shared" si="27"/>
        <v>26</v>
      </c>
      <c r="D173" s="31">
        <v>13</v>
      </c>
      <c r="E173" s="31" t="str">
        <f>VLOOKUP(D173,姓名檔!$A$2:$G$159,4,0)</f>
        <v>Ed &amp;Allison Lee</v>
      </c>
      <c r="F173" s="31" t="s">
        <v>15</v>
      </c>
      <c r="G173" s="31" t="str">
        <f>VLOOKUP(F173,姓名檔!$H$3:$I$18,2)</f>
        <v>主日奉獻</v>
      </c>
      <c r="H173" s="31" t="str">
        <f>VLOOKUP(D173,姓名檔!$A$2:G$159,5,0)</f>
        <v>US Bank</v>
      </c>
      <c r="I173" s="31">
        <v>9828</v>
      </c>
      <c r="J173" s="137">
        <v>100</v>
      </c>
      <c r="K173" s="191"/>
      <c r="L173" s="33"/>
      <c r="M173" s="72"/>
      <c r="N173" s="72"/>
    </row>
    <row r="174" spans="1:15" x14ac:dyDescent="0.3">
      <c r="A174" s="32">
        <v>46194</v>
      </c>
      <c r="B174" s="31">
        <f t="shared" si="28"/>
        <v>6</v>
      </c>
      <c r="C174" s="31">
        <f t="shared" si="27"/>
        <v>26</v>
      </c>
      <c r="D174" s="31">
        <v>11</v>
      </c>
      <c r="E174" s="31" t="str">
        <f>VLOOKUP(D174,姓名檔!$A$2:$G$159,4,0)</f>
        <v>Yu Mei Feng馮俞梅</v>
      </c>
      <c r="F174" s="31" t="s">
        <v>15</v>
      </c>
      <c r="G174" s="31" t="str">
        <f>VLOOKUP(F174,姓名檔!$H$3:$I$18,2)</f>
        <v>主日奉獻</v>
      </c>
      <c r="H174" s="31" t="str">
        <f>VLOOKUP(D174,姓名檔!$A$2:G$159,5,0)</f>
        <v>Bank of America</v>
      </c>
      <c r="I174" s="31">
        <v>1784</v>
      </c>
      <c r="J174" s="137">
        <v>100</v>
      </c>
      <c r="K174" s="191">
        <v>46195</v>
      </c>
      <c r="L174" s="33">
        <f>SUM(J167:J174)</f>
        <v>884.8</v>
      </c>
      <c r="M174" s="72" t="s">
        <v>315</v>
      </c>
      <c r="N174" s="72"/>
    </row>
    <row r="175" spans="1:15" x14ac:dyDescent="0.3">
      <c r="A175" s="9">
        <v>46201</v>
      </c>
      <c r="B175" s="10">
        <f t="shared" si="28"/>
        <v>6</v>
      </c>
      <c r="C175" s="10">
        <f t="shared" si="27"/>
        <v>27</v>
      </c>
      <c r="D175" s="10">
        <v>9</v>
      </c>
      <c r="E175" s="10" t="str">
        <f>VLOOKUP(D175,姓名檔!$A$2:$G$159,4,0)</f>
        <v>Min Deng鄧敏 Sandy</v>
      </c>
      <c r="F175" s="10" t="s">
        <v>15</v>
      </c>
      <c r="G175" s="10" t="str">
        <f>VLOOKUP(F175,姓名檔!$H$3:$I$18,2)</f>
        <v>主日奉獻</v>
      </c>
      <c r="H175" s="10"/>
      <c r="I175" s="10"/>
      <c r="J175" s="135">
        <v>20</v>
      </c>
      <c r="K175" s="192"/>
      <c r="L175" s="11"/>
      <c r="M175" s="72"/>
      <c r="N175" s="72"/>
    </row>
    <row r="176" spans="1:15" x14ac:dyDescent="0.3">
      <c r="A176" s="9">
        <v>46201</v>
      </c>
      <c r="B176" s="10">
        <f t="shared" si="28"/>
        <v>6</v>
      </c>
      <c r="C176" s="10">
        <f t="shared" si="27"/>
        <v>27</v>
      </c>
      <c r="D176" s="10">
        <v>2</v>
      </c>
      <c r="E176" s="10" t="str">
        <f>VLOOKUP(D176,姓名檔!$A$2:$G$159,4,0)</f>
        <v>喬阿姨Yen Pin Liu Chiao</v>
      </c>
      <c r="F176" s="10" t="s">
        <v>15</v>
      </c>
      <c r="G176" s="10" t="str">
        <f>VLOOKUP(F176,姓名檔!$H$3:$I$18,2)</f>
        <v>主日奉獻</v>
      </c>
      <c r="H176" s="10"/>
      <c r="I176" s="10"/>
      <c r="J176" s="135">
        <v>100</v>
      </c>
      <c r="K176" s="192"/>
      <c r="L176" s="11"/>
      <c r="M176" s="72"/>
      <c r="N176" s="72"/>
    </row>
    <row r="177" spans="1:14" x14ac:dyDescent="0.3">
      <c r="A177" s="9">
        <v>46201</v>
      </c>
      <c r="B177" s="10">
        <f t="shared" si="28"/>
        <v>6</v>
      </c>
      <c r="C177" s="10">
        <f t="shared" si="27"/>
        <v>27</v>
      </c>
      <c r="D177" s="10">
        <v>20</v>
      </c>
      <c r="E177" s="10" t="str">
        <f>VLOOKUP(D177,姓名檔!$A$2:$G$159,4,0)</f>
        <v>不具名</v>
      </c>
      <c r="F177" s="10" t="s">
        <v>15</v>
      </c>
      <c r="G177" s="10" t="str">
        <f>VLOOKUP(F177,姓名檔!$H$3:$I$18,2)</f>
        <v>主日奉獻</v>
      </c>
      <c r="H177" s="10">
        <f>VLOOKUP(D177,姓名檔!$A$2:G$159,5,0)</f>
        <v>0</v>
      </c>
      <c r="I177" s="10"/>
      <c r="J177" s="135">
        <v>15</v>
      </c>
      <c r="K177" s="192"/>
      <c r="L177" s="11"/>
      <c r="M177" s="72"/>
      <c r="N177" s="72"/>
    </row>
    <row r="178" spans="1:14" x14ac:dyDescent="0.3">
      <c r="A178" s="9">
        <v>46201</v>
      </c>
      <c r="B178" s="10">
        <f t="shared" si="28"/>
        <v>6</v>
      </c>
      <c r="C178" s="10">
        <f t="shared" si="27"/>
        <v>27</v>
      </c>
      <c r="D178" s="10">
        <v>19</v>
      </c>
      <c r="E178" s="10" t="str">
        <f>VLOOKUP(D178,姓名檔!$A$2:$G$159,4,0)</f>
        <v>Frank T. Chui</v>
      </c>
      <c r="F178" s="10" t="s">
        <v>15</v>
      </c>
      <c r="G178" s="10" t="str">
        <f>VLOOKUP(F178,姓名檔!$H$3:$I$18,2)</f>
        <v>主日奉獻</v>
      </c>
      <c r="H178" s="10" t="s">
        <v>303</v>
      </c>
      <c r="I178" s="10">
        <v>175</v>
      </c>
      <c r="J178" s="135">
        <v>1000</v>
      </c>
      <c r="K178" s="192"/>
      <c r="L178" s="11"/>
      <c r="M178" s="72"/>
      <c r="N178" s="72"/>
    </row>
    <row r="179" spans="1:14" x14ac:dyDescent="0.3">
      <c r="A179" s="9">
        <v>46201</v>
      </c>
      <c r="B179" s="10">
        <f t="shared" si="28"/>
        <v>6</v>
      </c>
      <c r="C179" s="10">
        <f t="shared" si="27"/>
        <v>27</v>
      </c>
      <c r="D179" s="10">
        <v>47</v>
      </c>
      <c r="E179" s="10" t="str">
        <f>VLOOKUP(D179,姓名檔!$A$2:$G$159,4,0)</f>
        <v>Hong Wang王宏</v>
      </c>
      <c r="F179" s="10" t="s">
        <v>15</v>
      </c>
      <c r="G179" s="10" t="str">
        <f>VLOOKUP(F179,姓名檔!$H$3:$I$18,2)</f>
        <v>主日奉獻</v>
      </c>
      <c r="H179" s="10" t="str">
        <f>VLOOKUP(D179,姓名檔!$A$2:G$159,5,0)</f>
        <v>Bank of America</v>
      </c>
      <c r="I179" s="10">
        <v>3100</v>
      </c>
      <c r="J179" s="135">
        <v>200</v>
      </c>
      <c r="K179" s="192"/>
      <c r="L179" s="11"/>
      <c r="M179" s="72"/>
      <c r="N179" s="72"/>
    </row>
    <row r="180" spans="1:14" x14ac:dyDescent="0.3">
      <c r="A180" s="9">
        <v>46201</v>
      </c>
      <c r="B180" s="10">
        <f t="shared" si="28"/>
        <v>6</v>
      </c>
      <c r="C180" s="10">
        <f t="shared" si="27"/>
        <v>27</v>
      </c>
      <c r="D180" s="10">
        <v>13</v>
      </c>
      <c r="E180" s="10" t="str">
        <f>VLOOKUP(D180,姓名檔!$A$2:$G$159,4,0)</f>
        <v>Ed &amp;Allison Lee</v>
      </c>
      <c r="F180" s="10" t="s">
        <v>15</v>
      </c>
      <c r="G180" s="10" t="str">
        <f>VLOOKUP(F180,姓名檔!$H$3:$I$18,2)</f>
        <v>主日奉獻</v>
      </c>
      <c r="H180" s="10" t="str">
        <f>VLOOKUP(D180,姓名檔!$A$2:G$159,5,0)</f>
        <v>US Bank</v>
      </c>
      <c r="I180" s="10">
        <v>9829</v>
      </c>
      <c r="J180" s="135">
        <v>100</v>
      </c>
      <c r="K180" s="192"/>
      <c r="L180" s="11"/>
      <c r="M180" s="72" t="s">
        <v>316</v>
      </c>
      <c r="N180" s="73"/>
    </row>
    <row r="181" spans="1:14" x14ac:dyDescent="0.3">
      <c r="A181" s="9">
        <v>46201</v>
      </c>
      <c r="B181" s="10">
        <f t="shared" si="28"/>
        <v>6</v>
      </c>
      <c r="C181" s="10">
        <f t="shared" si="27"/>
        <v>27</v>
      </c>
      <c r="D181" s="10">
        <v>11</v>
      </c>
      <c r="E181" s="10" t="str">
        <f>VLOOKUP(D181,姓名檔!$A$2:$G$159,4,0)</f>
        <v>Yu Mei Feng馮俞梅</v>
      </c>
      <c r="F181" s="10" t="s">
        <v>15</v>
      </c>
      <c r="G181" s="10" t="str">
        <f>VLOOKUP(F181,姓名檔!$H$3:$I$18,2)</f>
        <v>主日奉獻</v>
      </c>
      <c r="H181" s="10" t="str">
        <f>VLOOKUP(D181,姓名檔!$A$2:G$159,5,0)</f>
        <v>Bank of America</v>
      </c>
      <c r="I181" s="10">
        <v>1786</v>
      </c>
      <c r="J181" s="135">
        <v>100</v>
      </c>
      <c r="K181" s="192">
        <v>46202</v>
      </c>
      <c r="L181" s="11">
        <f>SUM(J175:J181)</f>
        <v>1535</v>
      </c>
      <c r="M181" s="73">
        <f>SUM(L156:L181)</f>
        <v>6204.8</v>
      </c>
      <c r="N181" s="72"/>
    </row>
    <row r="182" spans="1:14" x14ac:dyDescent="0.3">
      <c r="A182" s="32">
        <v>46208</v>
      </c>
      <c r="B182" s="31">
        <f>MONTH(A182)</f>
        <v>7</v>
      </c>
      <c r="C182" s="31">
        <f t="shared" si="27"/>
        <v>28</v>
      </c>
      <c r="D182" s="156" t="s">
        <v>317</v>
      </c>
      <c r="E182" s="31" t="str">
        <f>VLOOKUP(D182,姓名檔!$A$2:$G$159,4,0)</f>
        <v>劉珈因Lau Ka Yan(Renee)</v>
      </c>
      <c r="F182" s="31" t="s">
        <v>15</v>
      </c>
      <c r="G182" s="31" t="str">
        <f>VLOOKUP(F182,姓名檔!$H$3:$I$18,2)</f>
        <v>主日奉獻</v>
      </c>
      <c r="H182" s="31">
        <f>VLOOKUP(D182,姓名檔!$A$2:G$159,5,0)</f>
        <v>0</v>
      </c>
      <c r="I182" s="31"/>
      <c r="J182" s="137">
        <v>100</v>
      </c>
      <c r="K182" s="191"/>
      <c r="L182" s="33"/>
      <c r="M182" s="72"/>
      <c r="N182" s="72"/>
    </row>
    <row r="183" spans="1:14" x14ac:dyDescent="0.3">
      <c r="A183" s="32">
        <v>46208</v>
      </c>
      <c r="B183" s="31">
        <f>MONTH(A183)</f>
        <v>7</v>
      </c>
      <c r="C183" s="31">
        <f t="shared" ref="C183:C245" si="29">WEEKNUM(A183)</f>
        <v>28</v>
      </c>
      <c r="D183" s="31">
        <v>20</v>
      </c>
      <c r="E183" s="31" t="str">
        <f>VLOOKUP(D183,姓名檔!$A$2:$G$159,4,0)</f>
        <v>不具名</v>
      </c>
      <c r="F183" s="31" t="s">
        <v>15</v>
      </c>
      <c r="G183" s="31" t="str">
        <f>VLOOKUP(F183,姓名檔!$H$3:$I$18,2)</f>
        <v>主日奉獻</v>
      </c>
      <c r="H183" s="31">
        <f>VLOOKUP(D183,姓名檔!$A$2:G$159,5,0)</f>
        <v>0</v>
      </c>
      <c r="I183" s="31"/>
      <c r="J183" s="137">
        <v>171</v>
      </c>
      <c r="K183" s="191"/>
      <c r="L183" s="33"/>
      <c r="M183" s="72"/>
      <c r="N183" s="72"/>
    </row>
    <row r="184" spans="1:14" x14ac:dyDescent="0.3">
      <c r="A184" s="32">
        <v>46208</v>
      </c>
      <c r="B184" s="31">
        <f t="shared" ref="B184:B246" si="30">MONTH(A184)</f>
        <v>7</v>
      </c>
      <c r="C184" s="31">
        <f t="shared" si="29"/>
        <v>28</v>
      </c>
      <c r="D184" s="31">
        <v>13</v>
      </c>
      <c r="E184" s="31" t="str">
        <f>VLOOKUP(D184,姓名檔!$A$2:$G$159,4,0)</f>
        <v>Ed &amp;Allison Lee</v>
      </c>
      <c r="F184" s="31" t="s">
        <v>15</v>
      </c>
      <c r="G184" s="31" t="str">
        <f>VLOOKUP(F184,姓名檔!$H$3:$I$18,2)</f>
        <v>主日奉獻</v>
      </c>
      <c r="H184" s="31" t="str">
        <f>VLOOKUP(D184,姓名檔!$A$2:G$159,5,0)</f>
        <v>US Bank</v>
      </c>
      <c r="I184" s="31">
        <v>9930</v>
      </c>
      <c r="J184" s="137">
        <v>100</v>
      </c>
      <c r="K184" s="191"/>
      <c r="L184" s="33"/>
      <c r="M184" s="72"/>
      <c r="N184" s="72"/>
    </row>
    <row r="185" spans="1:14" x14ac:dyDescent="0.3">
      <c r="A185" s="32">
        <v>46208</v>
      </c>
      <c r="B185" s="31">
        <f t="shared" si="30"/>
        <v>7</v>
      </c>
      <c r="C185" s="31">
        <f t="shared" si="29"/>
        <v>28</v>
      </c>
      <c r="D185" s="31">
        <v>47</v>
      </c>
      <c r="E185" s="31" t="str">
        <f>VLOOKUP(D185,姓名檔!$A$2:$G$159,4,0)</f>
        <v>Hong Wang王宏</v>
      </c>
      <c r="F185" s="31" t="s">
        <v>15</v>
      </c>
      <c r="G185" s="31" t="str">
        <f>VLOOKUP(F185,姓名檔!$H$3:$I$18,2)</f>
        <v>主日奉獻</v>
      </c>
      <c r="H185" s="31" t="str">
        <f>VLOOKUP(D185,姓名檔!$A$2:G$159,5,0)</f>
        <v>Bank of America</v>
      </c>
      <c r="I185" s="31">
        <v>3101</v>
      </c>
      <c r="J185" s="137">
        <v>200</v>
      </c>
      <c r="K185" s="191"/>
      <c r="L185" s="33"/>
      <c r="M185" s="72"/>
      <c r="N185" s="72"/>
    </row>
    <row r="186" spans="1:14" x14ac:dyDescent="0.3">
      <c r="A186" s="32">
        <v>46208</v>
      </c>
      <c r="B186" s="31">
        <f t="shared" si="30"/>
        <v>7</v>
      </c>
      <c r="C186" s="31">
        <f t="shared" si="29"/>
        <v>28</v>
      </c>
      <c r="D186" s="31">
        <v>8</v>
      </c>
      <c r="E186" s="31" t="str">
        <f>VLOOKUP(D186,姓名檔!$A$2:$G$159,4,0)</f>
        <v>Christopher Liu Pamela Yu Liu</v>
      </c>
      <c r="F186" s="31" t="s">
        <v>15</v>
      </c>
      <c r="G186" s="31" t="str">
        <f>VLOOKUP(F186,姓名檔!$H$3:$I$18,2)</f>
        <v>主日奉獻</v>
      </c>
      <c r="H186" s="31" t="str">
        <f>VLOOKUP(D186,姓名檔!$A$2:G$159,5,0)</f>
        <v>Bank of America</v>
      </c>
      <c r="I186" s="31">
        <v>5551</v>
      </c>
      <c r="J186" s="137">
        <v>400</v>
      </c>
      <c r="K186" s="191">
        <v>46213</v>
      </c>
      <c r="L186" s="33">
        <f>SUM(J182:J186)</f>
        <v>971</v>
      </c>
      <c r="M186" s="72"/>
      <c r="N186" s="72"/>
    </row>
    <row r="187" spans="1:14" x14ac:dyDescent="0.3">
      <c r="A187" s="27">
        <v>46215</v>
      </c>
      <c r="B187" s="28">
        <f t="shared" si="30"/>
        <v>7</v>
      </c>
      <c r="C187" s="28">
        <f t="shared" si="29"/>
        <v>29</v>
      </c>
      <c r="D187" s="28">
        <v>2</v>
      </c>
      <c r="E187" s="28" t="str">
        <f>VLOOKUP(D187,姓名檔!$A$2:$G$159,4,0)</f>
        <v>喬阿姨Yen Pin Liu Chiao</v>
      </c>
      <c r="F187" s="28" t="s">
        <v>15</v>
      </c>
      <c r="G187" s="28" t="str">
        <f>VLOOKUP(F187,姓名檔!$H$3:$I$18,2)</f>
        <v>主日奉獻</v>
      </c>
      <c r="H187" s="28"/>
      <c r="I187" s="28"/>
      <c r="J187" s="140">
        <v>100</v>
      </c>
      <c r="K187" s="189"/>
      <c r="L187" s="29"/>
      <c r="M187" s="72"/>
      <c r="N187" s="72"/>
    </row>
    <row r="188" spans="1:14" x14ac:dyDescent="0.3">
      <c r="A188" s="27">
        <v>46215</v>
      </c>
      <c r="B188" s="28">
        <f t="shared" si="30"/>
        <v>7</v>
      </c>
      <c r="C188" s="28">
        <f t="shared" si="29"/>
        <v>29</v>
      </c>
      <c r="D188" s="148" t="s">
        <v>318</v>
      </c>
      <c r="E188" s="28" t="str">
        <f>VLOOKUP(D188,姓名檔!$A$2:$G$159,4,0)</f>
        <v>劉珈因Lau Ka Yan(Renee)</v>
      </c>
      <c r="F188" s="28" t="s">
        <v>15</v>
      </c>
      <c r="G188" s="28" t="str">
        <f>VLOOKUP(F188,姓名檔!$H$3:$I$18,2)</f>
        <v>主日奉獻</v>
      </c>
      <c r="H188" s="28">
        <f>VLOOKUP(D188,姓名檔!$A$2:G$159,5,0)</f>
        <v>0</v>
      </c>
      <c r="I188" s="28"/>
      <c r="J188" s="140">
        <v>100</v>
      </c>
      <c r="K188" s="189"/>
      <c r="L188" s="29"/>
      <c r="M188" s="72"/>
      <c r="N188" s="72"/>
    </row>
    <row r="189" spans="1:14" x14ac:dyDescent="0.3">
      <c r="A189" s="27">
        <v>46215</v>
      </c>
      <c r="B189" s="28">
        <f t="shared" si="30"/>
        <v>7</v>
      </c>
      <c r="C189" s="28">
        <f t="shared" si="29"/>
        <v>29</v>
      </c>
      <c r="D189" s="28">
        <v>9</v>
      </c>
      <c r="E189" s="28" t="str">
        <f>VLOOKUP(D189,姓名檔!$A$2:$G$159,4,0)</f>
        <v>Min Deng鄧敏 Sandy</v>
      </c>
      <c r="F189" s="28" t="s">
        <v>15</v>
      </c>
      <c r="G189" s="28" t="str">
        <f>VLOOKUP(F189,姓名檔!$H$3:$I$18,2)</f>
        <v>主日奉獻</v>
      </c>
      <c r="H189" s="28"/>
      <c r="I189" s="28"/>
      <c r="J189" s="140">
        <v>20</v>
      </c>
      <c r="K189" s="189"/>
      <c r="L189" s="29"/>
      <c r="M189" s="72"/>
      <c r="N189" s="72"/>
    </row>
    <row r="190" spans="1:14" x14ac:dyDescent="0.3">
      <c r="A190" s="27">
        <v>46215</v>
      </c>
      <c r="B190" s="28">
        <f t="shared" si="30"/>
        <v>7</v>
      </c>
      <c r="C190" s="28">
        <f t="shared" si="29"/>
        <v>29</v>
      </c>
      <c r="D190" s="28">
        <v>20</v>
      </c>
      <c r="E190" s="28" t="str">
        <f>VLOOKUP(D190,姓名檔!$A$2:$G$159,4,0)</f>
        <v>不具名</v>
      </c>
      <c r="F190" s="28" t="s">
        <v>15</v>
      </c>
      <c r="G190" s="28" t="str">
        <f>VLOOKUP(F190,姓名檔!$H$3:$I$18,2)</f>
        <v>主日奉獻</v>
      </c>
      <c r="H190" s="28">
        <f>VLOOKUP(D190,姓名檔!$A$2:G$159,5,0)</f>
        <v>0</v>
      </c>
      <c r="I190" s="28"/>
      <c r="J190" s="140">
        <v>35</v>
      </c>
      <c r="K190" s="189"/>
      <c r="L190" s="29"/>
      <c r="M190" s="72"/>
      <c r="N190" s="72"/>
    </row>
    <row r="191" spans="1:14" x14ac:dyDescent="0.3">
      <c r="A191" s="27">
        <v>46215</v>
      </c>
      <c r="B191" s="28">
        <f t="shared" si="30"/>
        <v>7</v>
      </c>
      <c r="C191" s="28">
        <f t="shared" si="29"/>
        <v>29</v>
      </c>
      <c r="D191" s="28">
        <v>8</v>
      </c>
      <c r="E191" s="28" t="str">
        <f>VLOOKUP(D191,姓名檔!$A$2:$G$159,4,0)</f>
        <v>Christopher Liu Pamela Yu Liu</v>
      </c>
      <c r="F191" s="28" t="s">
        <v>15</v>
      </c>
      <c r="G191" s="28" t="str">
        <f>VLOOKUP(F191,姓名檔!$H$3:$I$18,2)</f>
        <v>主日奉獻</v>
      </c>
      <c r="H191" s="28" t="str">
        <f>VLOOKUP(D191,姓名檔!$A$2:G$159,5,0)</f>
        <v>Bank of America</v>
      </c>
      <c r="I191" s="28">
        <v>5552</v>
      </c>
      <c r="J191" s="140">
        <v>200</v>
      </c>
      <c r="K191" s="189"/>
      <c r="L191" s="29"/>
      <c r="M191" s="72"/>
      <c r="N191" s="72"/>
    </row>
    <row r="192" spans="1:14" x14ac:dyDescent="0.3">
      <c r="A192" s="27">
        <v>46215</v>
      </c>
      <c r="B192" s="28">
        <f t="shared" si="30"/>
        <v>7</v>
      </c>
      <c r="C192" s="28">
        <f t="shared" si="29"/>
        <v>29</v>
      </c>
      <c r="D192" s="28">
        <v>47</v>
      </c>
      <c r="E192" s="28" t="str">
        <f>VLOOKUP(D192,姓名檔!$A$2:$G$159,4,0)</f>
        <v>Hong Wang王宏</v>
      </c>
      <c r="F192" s="28" t="s">
        <v>15</v>
      </c>
      <c r="G192" s="28" t="str">
        <f>VLOOKUP(F192,姓名檔!$H$3:$I$18,2)</f>
        <v>主日奉獻</v>
      </c>
      <c r="H192" s="28" t="str">
        <f>VLOOKUP(D192,姓名檔!$A$2:G$159,5,0)</f>
        <v>Bank of America</v>
      </c>
      <c r="I192" s="28">
        <v>3102</v>
      </c>
      <c r="J192" s="140">
        <v>200</v>
      </c>
      <c r="K192" s="28"/>
      <c r="L192" s="29"/>
      <c r="M192" s="72"/>
      <c r="N192" s="72"/>
    </row>
    <row r="193" spans="1:14" x14ac:dyDescent="0.3">
      <c r="A193" s="27">
        <v>46215</v>
      </c>
      <c r="B193" s="28">
        <f t="shared" si="30"/>
        <v>7</v>
      </c>
      <c r="C193" s="28">
        <f t="shared" si="29"/>
        <v>29</v>
      </c>
      <c r="D193" s="28">
        <v>11</v>
      </c>
      <c r="E193" s="28" t="str">
        <f>VLOOKUP(D193,姓名檔!$A$2:$G$159,4,0)</f>
        <v>Yu Mei Feng馮俞梅</v>
      </c>
      <c r="F193" s="28" t="s">
        <v>15</v>
      </c>
      <c r="G193" s="28" t="str">
        <f>VLOOKUP(F193,姓名檔!$H$3:$I$18,2)</f>
        <v>主日奉獻</v>
      </c>
      <c r="H193" s="28" t="str">
        <f>VLOOKUP(D193,姓名檔!$A$2:G$159,5,0)</f>
        <v>Bank of America</v>
      </c>
      <c r="I193" s="28">
        <v>1787</v>
      </c>
      <c r="J193" s="140">
        <v>100</v>
      </c>
      <c r="K193" s="30">
        <v>46217</v>
      </c>
      <c r="L193" s="29">
        <f>SUM(J187:J193)</f>
        <v>755</v>
      </c>
      <c r="M193" s="72"/>
      <c r="N193" s="72"/>
    </row>
    <row r="194" spans="1:14" x14ac:dyDescent="0.3">
      <c r="A194" s="27">
        <v>46222</v>
      </c>
      <c r="B194" s="56">
        <f t="shared" si="30"/>
        <v>7</v>
      </c>
      <c r="C194" s="56">
        <f t="shared" si="29"/>
        <v>30</v>
      </c>
      <c r="D194" s="56"/>
      <c r="E194" s="56" t="e">
        <f>VLOOKUP(D194,姓名檔!$A$2:$G$159,4,0)</f>
        <v>#N/A</v>
      </c>
      <c r="F194" s="56" t="s">
        <v>15</v>
      </c>
      <c r="G194" s="56" t="str">
        <f>VLOOKUP(F194,姓名檔!$H$3:$I$18,2)</f>
        <v>主日奉獻</v>
      </c>
      <c r="H194" s="56" t="e">
        <f>VLOOKUP(D194,姓名檔!$A$2:G$159,5,0)</f>
        <v>#N/A</v>
      </c>
      <c r="I194" s="56"/>
      <c r="J194" s="141"/>
      <c r="K194" s="96"/>
      <c r="L194" s="57"/>
      <c r="M194" s="72"/>
      <c r="N194" s="72"/>
    </row>
    <row r="195" spans="1:14" x14ac:dyDescent="0.3">
      <c r="A195" s="27">
        <v>46222</v>
      </c>
      <c r="B195" s="56">
        <f t="shared" si="30"/>
        <v>7</v>
      </c>
      <c r="C195" s="56">
        <f t="shared" si="29"/>
        <v>30</v>
      </c>
      <c r="D195" s="56"/>
      <c r="E195" s="56" t="e">
        <f>VLOOKUP(D195,姓名檔!$A$2:$G$159,4,0)</f>
        <v>#N/A</v>
      </c>
      <c r="F195" s="56" t="s">
        <v>15</v>
      </c>
      <c r="G195" s="56" t="str">
        <f>VLOOKUP(F195,姓名檔!$H$3:$I$18,2)</f>
        <v>主日奉獻</v>
      </c>
      <c r="H195" s="56" t="e">
        <f>VLOOKUP(D195,姓名檔!$A$2:G$159,5,0)</f>
        <v>#N/A</v>
      </c>
      <c r="I195" s="56"/>
      <c r="J195" s="141"/>
      <c r="K195" s="96"/>
      <c r="L195" s="57"/>
      <c r="M195" s="72"/>
      <c r="N195" s="72"/>
    </row>
    <row r="196" spans="1:14" x14ac:dyDescent="0.3">
      <c r="A196" s="27">
        <v>46222</v>
      </c>
      <c r="B196" s="56">
        <f t="shared" si="30"/>
        <v>7</v>
      </c>
      <c r="C196" s="56">
        <f t="shared" si="29"/>
        <v>30</v>
      </c>
      <c r="D196" s="56"/>
      <c r="E196" s="56" t="e">
        <f>VLOOKUP(D196,姓名檔!$A$2:$G$159,4,0)</f>
        <v>#N/A</v>
      </c>
      <c r="F196" s="56" t="s">
        <v>15</v>
      </c>
      <c r="G196" s="56" t="str">
        <f>VLOOKUP(F196,姓名檔!$H$3:$I$18,2)</f>
        <v>主日奉獻</v>
      </c>
      <c r="H196" s="56" t="e">
        <f>VLOOKUP(D196,姓名檔!$A$2:G$159,5,0)</f>
        <v>#N/A</v>
      </c>
      <c r="I196" s="56"/>
      <c r="J196" s="141"/>
      <c r="K196" s="56"/>
      <c r="L196" s="57"/>
      <c r="M196" s="72"/>
      <c r="N196" s="72"/>
    </row>
    <row r="197" spans="1:14" x14ac:dyDescent="0.3">
      <c r="A197" s="27">
        <v>46222</v>
      </c>
      <c r="B197" s="56">
        <f t="shared" si="30"/>
        <v>7</v>
      </c>
      <c r="C197" s="56">
        <f t="shared" si="29"/>
        <v>30</v>
      </c>
      <c r="D197" s="56"/>
      <c r="E197" s="56" t="e">
        <f>VLOOKUP(D197,姓名檔!$A$2:$G$159,4,0)</f>
        <v>#N/A</v>
      </c>
      <c r="F197" s="56" t="s">
        <v>15</v>
      </c>
      <c r="G197" s="56" t="str">
        <f>VLOOKUP(F197,姓名檔!$H$3:$I$18,2)</f>
        <v>主日奉獻</v>
      </c>
      <c r="H197" s="56" t="e">
        <f>VLOOKUP(D197,姓名檔!$A$2:G$159,5,0)</f>
        <v>#N/A</v>
      </c>
      <c r="I197" s="56"/>
      <c r="J197" s="141"/>
      <c r="K197" s="96"/>
      <c r="L197" s="57"/>
      <c r="M197" s="72"/>
      <c r="N197" s="72"/>
    </row>
    <row r="198" spans="1:14" x14ac:dyDescent="0.3">
      <c r="A198" s="27">
        <v>46222</v>
      </c>
      <c r="B198" s="56">
        <f t="shared" si="30"/>
        <v>7</v>
      </c>
      <c r="C198" s="56">
        <f t="shared" si="29"/>
        <v>30</v>
      </c>
      <c r="D198" s="56"/>
      <c r="E198" s="56" t="e">
        <f>VLOOKUP(D198,姓名檔!$A$2:$G$159,4,0)</f>
        <v>#N/A</v>
      </c>
      <c r="F198" s="56" t="s">
        <v>15</v>
      </c>
      <c r="G198" s="56" t="str">
        <f>VLOOKUP(F198,姓名檔!$H$3:$I$18,2)</f>
        <v>主日奉獻</v>
      </c>
      <c r="H198" s="56" t="e">
        <f>VLOOKUP(D198,姓名檔!$A$2:G$159,5,0)</f>
        <v>#N/A</v>
      </c>
      <c r="I198" s="56"/>
      <c r="J198" s="141"/>
      <c r="K198" s="56"/>
      <c r="L198" s="57"/>
      <c r="M198" s="72"/>
      <c r="N198" s="72"/>
    </row>
    <row r="199" spans="1:14" x14ac:dyDescent="0.3">
      <c r="A199" s="27">
        <v>46222</v>
      </c>
      <c r="B199" s="56">
        <f t="shared" si="30"/>
        <v>7</v>
      </c>
      <c r="C199" s="56">
        <f t="shared" si="29"/>
        <v>30</v>
      </c>
      <c r="D199" s="56"/>
      <c r="E199" s="56" t="e">
        <f>VLOOKUP(D199,姓名檔!$A$2:$G$159,4,0)</f>
        <v>#N/A</v>
      </c>
      <c r="F199" s="56" t="s">
        <v>15</v>
      </c>
      <c r="G199" s="56" t="str">
        <f>VLOOKUP(F199,姓名檔!$H$3:$I$18,2)</f>
        <v>主日奉獻</v>
      </c>
      <c r="H199" s="56" t="e">
        <f>VLOOKUP(D199,姓名檔!$A$2:G$159,5,0)</f>
        <v>#N/A</v>
      </c>
      <c r="I199" s="56"/>
      <c r="J199" s="141"/>
      <c r="K199" s="96"/>
      <c r="L199" s="57"/>
      <c r="M199" s="73"/>
      <c r="N199" s="72"/>
    </row>
    <row r="200" spans="1:14" x14ac:dyDescent="0.3">
      <c r="A200" s="27">
        <v>46222</v>
      </c>
      <c r="B200" s="56">
        <f t="shared" si="30"/>
        <v>7</v>
      </c>
      <c r="C200" s="56">
        <f t="shared" si="29"/>
        <v>30</v>
      </c>
      <c r="D200" s="56"/>
      <c r="E200" s="56" t="e">
        <f>VLOOKUP(D200,姓名檔!$A$2:$G$159,4,0)</f>
        <v>#N/A</v>
      </c>
      <c r="F200" s="56" t="s">
        <v>15</v>
      </c>
      <c r="G200" s="56" t="str">
        <f>VLOOKUP(F200,姓名檔!$H$3:$I$18,2)</f>
        <v>主日奉獻</v>
      </c>
      <c r="H200" s="56" t="e">
        <f>VLOOKUP(D200,姓名檔!$A$2:G$159,5,0)</f>
        <v>#N/A</v>
      </c>
      <c r="I200" s="56"/>
      <c r="J200" s="141"/>
      <c r="K200" s="56"/>
      <c r="L200" s="57"/>
      <c r="M200" s="72"/>
      <c r="N200" s="72"/>
    </row>
    <row r="201" spans="1:14" x14ac:dyDescent="0.3">
      <c r="A201" s="55">
        <v>46237</v>
      </c>
      <c r="B201" s="56">
        <f t="shared" si="30"/>
        <v>8</v>
      </c>
      <c r="C201" s="56">
        <f t="shared" si="29"/>
        <v>32</v>
      </c>
      <c r="D201" s="56"/>
      <c r="E201" s="56" t="e">
        <f>VLOOKUP(D201,姓名檔!$A$2:$G$159,4,0)</f>
        <v>#N/A</v>
      </c>
      <c r="F201" s="56" t="s">
        <v>15</v>
      </c>
      <c r="G201" s="56" t="str">
        <f>VLOOKUP(F201,姓名檔!$H$3:$I$18,2)</f>
        <v>主日奉獻</v>
      </c>
      <c r="H201" s="56" t="e">
        <f>VLOOKUP(D201,姓名檔!$A$2:G$159,5,0)</f>
        <v>#N/A</v>
      </c>
      <c r="I201" s="56"/>
      <c r="J201" s="141"/>
      <c r="K201" s="96"/>
      <c r="L201" s="57"/>
      <c r="M201" s="72"/>
      <c r="N201" s="72"/>
    </row>
    <row r="202" spans="1:14" x14ac:dyDescent="0.3">
      <c r="A202" s="55">
        <v>46237</v>
      </c>
      <c r="B202" s="56">
        <f t="shared" si="30"/>
        <v>8</v>
      </c>
      <c r="C202" s="56">
        <f t="shared" si="29"/>
        <v>32</v>
      </c>
      <c r="D202" s="56"/>
      <c r="E202" s="56" t="e">
        <f>VLOOKUP(D202,姓名檔!$A$2:$G$159,4,0)</f>
        <v>#N/A</v>
      </c>
      <c r="F202" s="56" t="s">
        <v>15</v>
      </c>
      <c r="G202" s="56" t="str">
        <f>VLOOKUP(F202,姓名檔!$H$3:$I$18,2)</f>
        <v>主日奉獻</v>
      </c>
      <c r="H202" s="56" t="e">
        <f>VLOOKUP(D202,姓名檔!$A$2:G$159,5,0)</f>
        <v>#N/A</v>
      </c>
      <c r="I202" s="56"/>
      <c r="J202" s="141"/>
      <c r="K202" s="56"/>
      <c r="L202" s="57"/>
      <c r="M202" s="72"/>
      <c r="N202" s="72"/>
    </row>
    <row r="203" spans="1:14" x14ac:dyDescent="0.3">
      <c r="A203" s="55">
        <v>46237</v>
      </c>
      <c r="B203" s="56">
        <f t="shared" si="30"/>
        <v>8</v>
      </c>
      <c r="C203" s="56">
        <f t="shared" si="29"/>
        <v>32</v>
      </c>
      <c r="D203" s="56"/>
      <c r="E203" s="56" t="e">
        <f>VLOOKUP(D203,姓名檔!$A$2:$G$159,4,0)</f>
        <v>#N/A</v>
      </c>
      <c r="F203" s="56" t="s">
        <v>15</v>
      </c>
      <c r="G203" s="56" t="str">
        <f>VLOOKUP(F203,姓名檔!$H$3:$I$18,2)</f>
        <v>主日奉獻</v>
      </c>
      <c r="H203" s="56" t="e">
        <f>VLOOKUP(D203,姓名檔!$A$2:G$159,5,0)</f>
        <v>#N/A</v>
      </c>
      <c r="I203" s="56"/>
      <c r="J203" s="141"/>
      <c r="K203" s="56"/>
      <c r="L203" s="57"/>
      <c r="M203" s="72"/>
      <c r="N203" s="72"/>
    </row>
    <row r="204" spans="1:14" x14ac:dyDescent="0.3">
      <c r="A204" s="55">
        <v>46237</v>
      </c>
      <c r="B204" s="56">
        <f t="shared" si="30"/>
        <v>8</v>
      </c>
      <c r="C204" s="56">
        <f t="shared" si="29"/>
        <v>32</v>
      </c>
      <c r="D204" s="56"/>
      <c r="E204" s="56" t="e">
        <f>VLOOKUP(D204,姓名檔!$A$2:$G$159,4,0)</f>
        <v>#N/A</v>
      </c>
      <c r="F204" s="56" t="s">
        <v>15</v>
      </c>
      <c r="G204" s="56" t="str">
        <f>VLOOKUP(F204,姓名檔!$H$3:$I$18,2)</f>
        <v>主日奉獻</v>
      </c>
      <c r="H204" s="56" t="e">
        <f>VLOOKUP(D204,姓名檔!$A$2:G$159,5,0)</f>
        <v>#N/A</v>
      </c>
      <c r="I204" s="56"/>
      <c r="J204" s="141"/>
      <c r="K204" s="56"/>
      <c r="L204" s="57"/>
      <c r="M204" s="72"/>
      <c r="N204" s="72"/>
    </row>
    <row r="205" spans="1:14" x14ac:dyDescent="0.3">
      <c r="A205" s="55">
        <v>46237</v>
      </c>
      <c r="B205" s="56">
        <f t="shared" si="30"/>
        <v>8</v>
      </c>
      <c r="C205" s="56">
        <f t="shared" si="29"/>
        <v>32</v>
      </c>
      <c r="D205" s="56"/>
      <c r="E205" s="56" t="e">
        <f>VLOOKUP(D205,姓名檔!$A$2:$G$159,4,0)</f>
        <v>#N/A</v>
      </c>
      <c r="F205" s="56" t="s">
        <v>15</v>
      </c>
      <c r="G205" s="56" t="str">
        <f>VLOOKUP(F205,姓名檔!$H$3:$I$18,2)</f>
        <v>主日奉獻</v>
      </c>
      <c r="H205" s="56" t="e">
        <f>VLOOKUP(D205,姓名檔!$A$2:G$159,5,0)</f>
        <v>#N/A</v>
      </c>
      <c r="I205" s="56"/>
      <c r="J205" s="141"/>
      <c r="K205" s="56"/>
      <c r="L205" s="57"/>
      <c r="M205" s="72"/>
      <c r="N205" s="72"/>
    </row>
    <row r="206" spans="1:14" x14ac:dyDescent="0.3">
      <c r="A206" s="55">
        <v>46237</v>
      </c>
      <c r="B206" s="56">
        <f t="shared" si="30"/>
        <v>8</v>
      </c>
      <c r="C206" s="56">
        <f t="shared" si="29"/>
        <v>32</v>
      </c>
      <c r="D206" s="56"/>
      <c r="E206" s="56" t="e">
        <f>VLOOKUP(D206,姓名檔!$A$2:$G$159,4,0)</f>
        <v>#N/A</v>
      </c>
      <c r="F206" s="56" t="s">
        <v>15</v>
      </c>
      <c r="G206" s="56" t="str">
        <f>VLOOKUP(F206,姓名檔!$H$3:$I$18,2)</f>
        <v>主日奉獻</v>
      </c>
      <c r="H206" s="56" t="e">
        <f>VLOOKUP(D206,姓名檔!$A$2:G$159,5,0)</f>
        <v>#N/A</v>
      </c>
      <c r="I206" s="56"/>
      <c r="J206" s="141"/>
      <c r="K206" s="96"/>
      <c r="L206" s="57"/>
      <c r="M206" s="72"/>
      <c r="N206" s="72"/>
    </row>
    <row r="207" spans="1:14" x14ac:dyDescent="0.3">
      <c r="A207" s="55">
        <v>46237</v>
      </c>
      <c r="B207" s="56">
        <f t="shared" si="30"/>
        <v>8</v>
      </c>
      <c r="C207" s="56">
        <f t="shared" si="29"/>
        <v>32</v>
      </c>
      <c r="D207" s="56"/>
      <c r="E207" s="56" t="e">
        <f>VLOOKUP(D207,姓名檔!$A$2:$G$159,4,0)</f>
        <v>#N/A</v>
      </c>
      <c r="F207" s="56" t="s">
        <v>15</v>
      </c>
      <c r="G207" s="56" t="str">
        <f>VLOOKUP(F207,姓名檔!$H$3:$I$18,2)</f>
        <v>主日奉獻</v>
      </c>
      <c r="H207" s="56" t="e">
        <f>VLOOKUP(D207,姓名檔!$A$2:G$159,5,0)</f>
        <v>#N/A</v>
      </c>
      <c r="I207" s="56"/>
      <c r="J207" s="141"/>
      <c r="K207" s="56"/>
      <c r="L207" s="57"/>
      <c r="M207" s="72"/>
      <c r="N207" s="72"/>
    </row>
    <row r="208" spans="1:14" x14ac:dyDescent="0.3">
      <c r="A208" s="55">
        <v>46237</v>
      </c>
      <c r="B208" s="56">
        <f t="shared" si="30"/>
        <v>8</v>
      </c>
      <c r="C208" s="56">
        <f t="shared" si="29"/>
        <v>32</v>
      </c>
      <c r="D208" s="56"/>
      <c r="E208" s="56" t="e">
        <f>VLOOKUP(D208,姓名檔!$A$2:$G$159,4,0)</f>
        <v>#N/A</v>
      </c>
      <c r="F208" s="56" t="s">
        <v>15</v>
      </c>
      <c r="G208" s="56" t="str">
        <f>VLOOKUP(F208,姓名檔!$H$3:$I$18,2)</f>
        <v>主日奉獻</v>
      </c>
      <c r="H208" s="56" t="e">
        <f>VLOOKUP(D208,姓名檔!$A$2:G$159,5,0)</f>
        <v>#N/A</v>
      </c>
      <c r="I208" s="56"/>
      <c r="J208" s="141"/>
      <c r="K208" s="56"/>
      <c r="L208" s="57"/>
      <c r="M208" s="72"/>
      <c r="N208" s="72"/>
    </row>
    <row r="209" spans="1:14" x14ac:dyDescent="0.3">
      <c r="A209" s="55">
        <v>46237</v>
      </c>
      <c r="B209" s="56">
        <f t="shared" si="30"/>
        <v>8</v>
      </c>
      <c r="C209" s="56">
        <f t="shared" si="29"/>
        <v>32</v>
      </c>
      <c r="D209" s="56"/>
      <c r="E209" s="56" t="e">
        <f>VLOOKUP(D209,姓名檔!$A$2:$G$159,4,0)</f>
        <v>#N/A</v>
      </c>
      <c r="F209" s="56" t="s">
        <v>15</v>
      </c>
      <c r="G209" s="56" t="str">
        <f>VLOOKUP(F209,姓名檔!$H$3:$I$18,2)</f>
        <v>主日奉獻</v>
      </c>
      <c r="H209" s="56" t="e">
        <f>VLOOKUP(D209,姓名檔!$A$2:G$159,5,0)</f>
        <v>#N/A</v>
      </c>
      <c r="I209" s="56"/>
      <c r="J209" s="141"/>
      <c r="K209" s="96"/>
      <c r="L209" s="57"/>
      <c r="M209" s="72"/>
      <c r="N209" s="73"/>
    </row>
    <row r="210" spans="1:14" x14ac:dyDescent="0.3">
      <c r="A210" s="55">
        <v>46244</v>
      </c>
      <c r="B210" s="56">
        <f t="shared" si="30"/>
        <v>8</v>
      </c>
      <c r="C210" s="56">
        <f t="shared" si="29"/>
        <v>33</v>
      </c>
      <c r="D210" s="56"/>
      <c r="E210" s="56" t="e">
        <f>VLOOKUP(D210,姓名檔!$A$2:$G$159,4,0)</f>
        <v>#N/A</v>
      </c>
      <c r="F210" s="56" t="s">
        <v>15</v>
      </c>
      <c r="G210" s="56" t="str">
        <f>VLOOKUP(F210,姓名檔!$H$3:$I$18,2)</f>
        <v>主日奉獻</v>
      </c>
      <c r="H210" s="56" t="e">
        <f>VLOOKUP(D210,姓名檔!$A$2:G$159,5,0)</f>
        <v>#N/A</v>
      </c>
      <c r="I210" s="56"/>
      <c r="J210" s="141"/>
      <c r="K210" s="56"/>
      <c r="L210" s="57"/>
      <c r="M210" s="72"/>
      <c r="N210" s="72"/>
    </row>
    <row r="211" spans="1:14" x14ac:dyDescent="0.3">
      <c r="A211" s="55">
        <v>46244</v>
      </c>
      <c r="B211" s="56">
        <f t="shared" si="30"/>
        <v>8</v>
      </c>
      <c r="C211" s="56">
        <f t="shared" si="29"/>
        <v>33</v>
      </c>
      <c r="D211" s="56"/>
      <c r="E211" s="56" t="e">
        <f>VLOOKUP(D211,姓名檔!$A$2:$G$159,4,0)</f>
        <v>#N/A</v>
      </c>
      <c r="F211" s="56" t="s">
        <v>15</v>
      </c>
      <c r="G211" s="56" t="str">
        <f>VLOOKUP(F211,姓名檔!$H$3:$I$18,2)</f>
        <v>主日奉獻</v>
      </c>
      <c r="H211" s="56" t="e">
        <f>VLOOKUP(D211,姓名檔!$A$2:G$159,5,0)</f>
        <v>#N/A</v>
      </c>
      <c r="I211" s="56"/>
      <c r="J211" s="141"/>
      <c r="K211" s="96"/>
      <c r="L211" s="57"/>
      <c r="M211" s="72"/>
      <c r="N211" s="72"/>
    </row>
    <row r="212" spans="1:14" x14ac:dyDescent="0.3">
      <c r="A212" s="55">
        <v>46244</v>
      </c>
      <c r="B212" s="56">
        <f t="shared" si="30"/>
        <v>8</v>
      </c>
      <c r="C212" s="56">
        <f t="shared" si="29"/>
        <v>33</v>
      </c>
      <c r="D212" s="56"/>
      <c r="E212" s="56" t="e">
        <f>VLOOKUP(D212,姓名檔!$A$2:$G$159,4,0)</f>
        <v>#N/A</v>
      </c>
      <c r="F212" s="56" t="s">
        <v>15</v>
      </c>
      <c r="G212" s="56" t="str">
        <f>VLOOKUP(F212,姓名檔!$H$3:$I$18,2)</f>
        <v>主日奉獻</v>
      </c>
      <c r="H212" s="56" t="e">
        <f>VLOOKUP(D212,姓名檔!$A$2:G$159,5,0)</f>
        <v>#N/A</v>
      </c>
      <c r="I212" s="56"/>
      <c r="J212" s="141"/>
      <c r="K212" s="96"/>
      <c r="L212" s="57"/>
      <c r="M212" s="72"/>
      <c r="N212" s="72"/>
    </row>
    <row r="213" spans="1:14" x14ac:dyDescent="0.3">
      <c r="A213" s="55">
        <v>46251</v>
      </c>
      <c r="B213" s="56">
        <f t="shared" si="30"/>
        <v>8</v>
      </c>
      <c r="C213" s="56">
        <f t="shared" si="29"/>
        <v>34</v>
      </c>
      <c r="D213" s="56"/>
      <c r="E213" s="56" t="e">
        <f>VLOOKUP(D213,姓名檔!$A$2:$G$159,4,0)</f>
        <v>#N/A</v>
      </c>
      <c r="F213" s="56" t="s">
        <v>15</v>
      </c>
      <c r="G213" s="56" t="str">
        <f>VLOOKUP(F213,姓名檔!$H$3:$I$18,2)</f>
        <v>主日奉獻</v>
      </c>
      <c r="H213" s="56" t="e">
        <f>VLOOKUP(D213,姓名檔!$A$2:G$159,5,0)</f>
        <v>#N/A</v>
      </c>
      <c r="I213" s="56"/>
      <c r="J213" s="141"/>
      <c r="K213" s="56"/>
      <c r="L213" s="57"/>
      <c r="M213" s="72"/>
      <c r="N213" s="72"/>
    </row>
    <row r="214" spans="1:14" x14ac:dyDescent="0.3">
      <c r="A214" s="55">
        <v>46251</v>
      </c>
      <c r="B214" s="56">
        <f t="shared" si="30"/>
        <v>8</v>
      </c>
      <c r="C214" s="56">
        <f t="shared" si="29"/>
        <v>34</v>
      </c>
      <c r="D214" s="56"/>
      <c r="E214" s="56" t="e">
        <f>VLOOKUP(D214,姓名檔!$A$2:$G$159,4,0)</f>
        <v>#N/A</v>
      </c>
      <c r="F214" s="56" t="s">
        <v>15</v>
      </c>
      <c r="G214" s="56" t="str">
        <f>VLOOKUP(F214,姓名檔!$H$3:$I$18,2)</f>
        <v>主日奉獻</v>
      </c>
      <c r="H214" s="56" t="e">
        <f>VLOOKUP(D214,姓名檔!$A$2:G$159,5,0)</f>
        <v>#N/A</v>
      </c>
      <c r="I214" s="56"/>
      <c r="J214" s="141"/>
      <c r="K214" s="56"/>
      <c r="L214" s="57"/>
      <c r="M214" s="72"/>
      <c r="N214" s="72"/>
    </row>
    <row r="215" spans="1:14" x14ac:dyDescent="0.3">
      <c r="A215" s="55">
        <v>46251</v>
      </c>
      <c r="B215" s="56">
        <f t="shared" si="30"/>
        <v>8</v>
      </c>
      <c r="C215" s="56">
        <f t="shared" si="29"/>
        <v>34</v>
      </c>
      <c r="D215" s="56"/>
      <c r="E215" s="56" t="e">
        <f>VLOOKUP(D215,姓名檔!$A$2:$G$159,4,0)</f>
        <v>#N/A</v>
      </c>
      <c r="F215" s="56" t="s">
        <v>15</v>
      </c>
      <c r="G215" s="56" t="str">
        <f>VLOOKUP(F215,姓名檔!$H$3:$I$18,2)</f>
        <v>主日奉獻</v>
      </c>
      <c r="H215" s="56" t="e">
        <f>VLOOKUP(D215,姓名檔!$A$2:G$159,5,0)</f>
        <v>#N/A</v>
      </c>
      <c r="I215" s="56"/>
      <c r="J215" s="141"/>
      <c r="K215" s="56"/>
      <c r="L215" s="57"/>
      <c r="M215" s="72"/>
      <c r="N215" s="72"/>
    </row>
    <row r="216" spans="1:14" x14ac:dyDescent="0.3">
      <c r="A216" s="55">
        <v>46251</v>
      </c>
      <c r="B216" s="56">
        <f t="shared" si="30"/>
        <v>8</v>
      </c>
      <c r="C216" s="56">
        <f t="shared" si="29"/>
        <v>34</v>
      </c>
      <c r="D216" s="56"/>
      <c r="E216" s="56" t="e">
        <f>VLOOKUP(D216,姓名檔!$A$2:$G$159,4,0)</f>
        <v>#N/A</v>
      </c>
      <c r="F216" s="56" t="s">
        <v>15</v>
      </c>
      <c r="G216" s="56" t="str">
        <f>VLOOKUP(F216,姓名檔!$H$3:$I$18,2)</f>
        <v>主日奉獻</v>
      </c>
      <c r="H216" s="56" t="e">
        <f>VLOOKUP(D216,姓名檔!$A$2:G$159,5,0)</f>
        <v>#N/A</v>
      </c>
      <c r="I216" s="56"/>
      <c r="J216" s="141"/>
      <c r="K216" s="171"/>
      <c r="L216" s="57"/>
      <c r="M216" s="72"/>
      <c r="N216" s="72"/>
    </row>
    <row r="217" spans="1:14" x14ac:dyDescent="0.3">
      <c r="A217" s="55">
        <v>46251</v>
      </c>
      <c r="B217" s="56">
        <f t="shared" si="30"/>
        <v>8</v>
      </c>
      <c r="C217" s="56">
        <f t="shared" si="29"/>
        <v>34</v>
      </c>
      <c r="D217" s="56"/>
      <c r="E217" s="56" t="e">
        <f>VLOOKUP(D217,姓名檔!$A$2:$G$159,4,0)</f>
        <v>#N/A</v>
      </c>
      <c r="F217" s="56" t="s">
        <v>15</v>
      </c>
      <c r="G217" s="56" t="str">
        <f>VLOOKUP(F217,姓名檔!$H$3:$I$18,2)</f>
        <v>主日奉獻</v>
      </c>
      <c r="H217" s="56" t="e">
        <f>VLOOKUP(D217,姓名檔!$A$2:G$159,5,0)</f>
        <v>#N/A</v>
      </c>
      <c r="I217" s="56"/>
      <c r="J217" s="141"/>
      <c r="K217" s="96"/>
      <c r="L217" s="57"/>
      <c r="M217" s="72"/>
      <c r="N217" s="72"/>
    </row>
    <row r="218" spans="1:14" x14ac:dyDescent="0.3">
      <c r="A218" s="55">
        <v>46251</v>
      </c>
      <c r="B218" s="56">
        <f t="shared" si="30"/>
        <v>8</v>
      </c>
      <c r="C218" s="56">
        <f t="shared" si="29"/>
        <v>34</v>
      </c>
      <c r="D218" s="56"/>
      <c r="E218" s="56" t="e">
        <f>VLOOKUP(D218,姓名檔!$A$2:$G$159,4,0)</f>
        <v>#N/A</v>
      </c>
      <c r="F218" s="56" t="s">
        <v>15</v>
      </c>
      <c r="G218" s="56" t="str">
        <f>VLOOKUP(F218,姓名檔!$H$3:$I$18,2)</f>
        <v>主日奉獻</v>
      </c>
      <c r="H218" s="56" t="e">
        <f>VLOOKUP(D218,姓名檔!$A$2:G$159,5,0)</f>
        <v>#N/A</v>
      </c>
      <c r="I218" s="56"/>
      <c r="J218" s="141"/>
      <c r="K218" s="96"/>
      <c r="L218" s="57"/>
      <c r="M218" s="72"/>
      <c r="N218" s="72"/>
    </row>
    <row r="219" spans="1:14" x14ac:dyDescent="0.3">
      <c r="A219" s="55">
        <v>46258</v>
      </c>
      <c r="B219" s="56">
        <f t="shared" si="30"/>
        <v>8</v>
      </c>
      <c r="C219" s="56">
        <f t="shared" si="29"/>
        <v>35</v>
      </c>
      <c r="D219" s="56"/>
      <c r="E219" s="56" t="e">
        <f>VLOOKUP(D219,姓名檔!$A$2:$G$159,4,0)</f>
        <v>#N/A</v>
      </c>
      <c r="F219" s="56" t="s">
        <v>15</v>
      </c>
      <c r="G219" s="56" t="str">
        <f>VLOOKUP(F219,姓名檔!$H$3:$I$18,2)</f>
        <v>主日奉獻</v>
      </c>
      <c r="H219" s="56" t="e">
        <f>VLOOKUP(D219,姓名檔!$A$2:G$159,5,0)</f>
        <v>#N/A</v>
      </c>
      <c r="I219" s="56"/>
      <c r="J219" s="141"/>
      <c r="K219" s="56"/>
      <c r="L219" s="57"/>
      <c r="M219" s="72"/>
      <c r="N219" s="72"/>
    </row>
    <row r="220" spans="1:14" x14ac:dyDescent="0.3">
      <c r="A220" s="55">
        <v>46258</v>
      </c>
      <c r="B220" s="56">
        <f t="shared" si="30"/>
        <v>8</v>
      </c>
      <c r="C220" s="56">
        <f t="shared" si="29"/>
        <v>35</v>
      </c>
      <c r="D220" s="56"/>
      <c r="E220" s="56" t="e">
        <f>VLOOKUP(D220,姓名檔!$A$2:$G$159,4,0)</f>
        <v>#N/A</v>
      </c>
      <c r="F220" s="56" t="s">
        <v>15</v>
      </c>
      <c r="G220" s="56" t="str">
        <f>VLOOKUP(F220,姓名檔!$H$3:$I$18,2)</f>
        <v>主日奉獻</v>
      </c>
      <c r="H220" s="56" t="e">
        <f>VLOOKUP(D220,姓名檔!$A$2:G$159,5,0)</f>
        <v>#N/A</v>
      </c>
      <c r="I220" s="56"/>
      <c r="J220" s="141"/>
      <c r="K220" s="56"/>
      <c r="L220" s="57"/>
      <c r="M220" s="72"/>
      <c r="N220" s="72"/>
    </row>
    <row r="221" spans="1:14" x14ac:dyDescent="0.3">
      <c r="A221" s="55">
        <v>46258</v>
      </c>
      <c r="B221" s="56">
        <f t="shared" si="30"/>
        <v>8</v>
      </c>
      <c r="C221" s="56">
        <f t="shared" si="29"/>
        <v>35</v>
      </c>
      <c r="D221" s="56"/>
      <c r="E221" s="56" t="e">
        <f>VLOOKUP(D221,姓名檔!$A$2:$G$159,4,0)</f>
        <v>#N/A</v>
      </c>
      <c r="F221" s="56" t="s">
        <v>15</v>
      </c>
      <c r="G221" s="56" t="str">
        <f>VLOOKUP(F221,姓名檔!$H$3:$I$18,2)</f>
        <v>主日奉獻</v>
      </c>
      <c r="H221" s="56" t="e">
        <f>VLOOKUP(D221,姓名檔!$A$2:G$159,5,0)</f>
        <v>#N/A</v>
      </c>
      <c r="I221" s="56"/>
      <c r="J221" s="141"/>
      <c r="K221" s="96"/>
      <c r="L221" s="57"/>
      <c r="M221" s="72"/>
      <c r="N221" s="72"/>
    </row>
    <row r="222" spans="1:14" x14ac:dyDescent="0.3">
      <c r="A222" s="55">
        <v>46258</v>
      </c>
      <c r="B222" s="56">
        <f t="shared" si="30"/>
        <v>8</v>
      </c>
      <c r="C222" s="56">
        <f t="shared" si="29"/>
        <v>35</v>
      </c>
      <c r="D222" s="56"/>
      <c r="E222" s="56" t="e">
        <f>VLOOKUP(D222,姓名檔!$A$2:$G$159,4,0)</f>
        <v>#N/A</v>
      </c>
      <c r="F222" s="56" t="s">
        <v>15</v>
      </c>
      <c r="G222" s="56" t="str">
        <f>VLOOKUP(F222,姓名檔!$H$3:$I$18,2)</f>
        <v>主日奉獻</v>
      </c>
      <c r="H222" s="56" t="e">
        <f>VLOOKUP(D222,姓名檔!$A$2:G$159,5,0)</f>
        <v>#N/A</v>
      </c>
      <c r="I222" s="56"/>
      <c r="J222" s="141"/>
      <c r="K222" s="96"/>
      <c r="L222" s="57"/>
      <c r="M222" s="72"/>
      <c r="N222" s="72"/>
    </row>
    <row r="223" spans="1:14" x14ac:dyDescent="0.3">
      <c r="A223" s="55">
        <v>46258</v>
      </c>
      <c r="B223" s="56">
        <f t="shared" si="30"/>
        <v>8</v>
      </c>
      <c r="C223" s="56">
        <f t="shared" si="29"/>
        <v>35</v>
      </c>
      <c r="D223" s="56"/>
      <c r="E223" s="56" t="e">
        <f>VLOOKUP(D223,姓名檔!$A$2:$G$159,4,0)</f>
        <v>#N/A</v>
      </c>
      <c r="F223" s="56" t="s">
        <v>15</v>
      </c>
      <c r="G223" s="56" t="str">
        <f>VLOOKUP(F223,姓名檔!$H$3:$I$18,2)</f>
        <v>主日奉獻</v>
      </c>
      <c r="H223" s="56" t="e">
        <f>VLOOKUP(D223,姓名檔!$A$2:G$159,5,0)</f>
        <v>#N/A</v>
      </c>
      <c r="I223" s="56"/>
      <c r="J223" s="141"/>
      <c r="K223" s="56"/>
      <c r="L223" s="57"/>
      <c r="M223" s="72"/>
      <c r="N223" s="72"/>
    </row>
    <row r="224" spans="1:14" x14ac:dyDescent="0.3">
      <c r="A224" s="55">
        <v>46258</v>
      </c>
      <c r="B224" s="56">
        <f t="shared" si="30"/>
        <v>8</v>
      </c>
      <c r="C224" s="56">
        <f t="shared" si="29"/>
        <v>35</v>
      </c>
      <c r="D224" s="56"/>
      <c r="E224" s="56" t="e">
        <f>VLOOKUP(D224,姓名檔!$A$2:$G$159,4,0)</f>
        <v>#N/A</v>
      </c>
      <c r="F224" s="56" t="s">
        <v>15</v>
      </c>
      <c r="G224" s="56" t="str">
        <f>VLOOKUP(F224,姓名檔!$H$3:$I$18,2)</f>
        <v>主日奉獻</v>
      </c>
      <c r="H224" s="56" t="e">
        <f>VLOOKUP(D224,姓名檔!$A$2:G$159,5,0)</f>
        <v>#N/A</v>
      </c>
      <c r="I224" s="56"/>
      <c r="J224" s="141"/>
      <c r="K224" s="96"/>
      <c r="L224" s="57"/>
      <c r="M224" s="72"/>
      <c r="N224" s="72"/>
    </row>
    <row r="225" spans="1:15" x14ac:dyDescent="0.3">
      <c r="A225" s="55">
        <v>46265</v>
      </c>
      <c r="B225" s="56">
        <f t="shared" si="30"/>
        <v>8</v>
      </c>
      <c r="C225" s="56">
        <f t="shared" si="29"/>
        <v>36</v>
      </c>
      <c r="D225" s="56"/>
      <c r="E225" s="56" t="e">
        <f>VLOOKUP(D225,姓名檔!$A$2:$G$159,4,0)</f>
        <v>#N/A</v>
      </c>
      <c r="F225" s="56" t="s">
        <v>15</v>
      </c>
      <c r="G225" s="56" t="str">
        <f>VLOOKUP(F225,姓名檔!$H$3:$I$18,2)</f>
        <v>主日奉獻</v>
      </c>
      <c r="H225" s="56" t="e">
        <f>VLOOKUP(D225,姓名檔!$A$2:G$159,5,0)</f>
        <v>#N/A</v>
      </c>
      <c r="I225" s="56"/>
      <c r="J225" s="141"/>
      <c r="K225" s="96"/>
      <c r="L225" s="57"/>
      <c r="M225" s="72"/>
      <c r="N225" s="72"/>
    </row>
    <row r="226" spans="1:15" x14ac:dyDescent="0.3">
      <c r="A226" s="55">
        <v>46265</v>
      </c>
      <c r="B226" s="56">
        <f t="shared" si="30"/>
        <v>8</v>
      </c>
      <c r="C226" s="56">
        <f t="shared" si="29"/>
        <v>36</v>
      </c>
      <c r="D226" s="56"/>
      <c r="E226" s="56" t="e">
        <f>VLOOKUP(D226,姓名檔!$A$2:$G$159,4,0)</f>
        <v>#N/A</v>
      </c>
      <c r="F226" s="56" t="s">
        <v>15</v>
      </c>
      <c r="G226" s="56" t="str">
        <f>VLOOKUP(F226,姓名檔!$H$3:$I$18,2)</f>
        <v>主日奉獻</v>
      </c>
      <c r="H226" s="56" t="e">
        <f>VLOOKUP(D226,姓名檔!$A$2:G$159,5,0)</f>
        <v>#N/A</v>
      </c>
      <c r="I226" s="56"/>
      <c r="J226" s="141"/>
      <c r="K226" s="96"/>
      <c r="L226" s="57"/>
      <c r="M226" s="72"/>
      <c r="N226" s="72"/>
    </row>
    <row r="227" spans="1:15" x14ac:dyDescent="0.3">
      <c r="A227" s="55">
        <v>46265</v>
      </c>
      <c r="B227" s="56">
        <f t="shared" si="30"/>
        <v>8</v>
      </c>
      <c r="C227" s="56">
        <f t="shared" si="29"/>
        <v>36</v>
      </c>
      <c r="D227" s="56"/>
      <c r="E227" s="56" t="e">
        <f>VLOOKUP(D227,姓名檔!$A$2:$G$159,4,0)</f>
        <v>#N/A</v>
      </c>
      <c r="F227" s="56" t="s">
        <v>15</v>
      </c>
      <c r="G227" s="56" t="str">
        <f>VLOOKUP(F227,姓名檔!$H$3:$I$18,2)</f>
        <v>主日奉獻</v>
      </c>
      <c r="H227" s="56" t="e">
        <f>VLOOKUP(D227,姓名檔!$A$2:G$159,5,0)</f>
        <v>#N/A</v>
      </c>
      <c r="I227" s="56"/>
      <c r="J227" s="141"/>
      <c r="K227" s="96"/>
      <c r="L227" s="57"/>
      <c r="M227" s="72"/>
      <c r="N227" s="72"/>
    </row>
    <row r="228" spans="1:15" x14ac:dyDescent="0.3">
      <c r="A228" s="55">
        <v>46265</v>
      </c>
      <c r="B228" s="56">
        <f t="shared" si="30"/>
        <v>8</v>
      </c>
      <c r="C228" s="56">
        <f t="shared" si="29"/>
        <v>36</v>
      </c>
      <c r="D228" s="56"/>
      <c r="E228" s="56" t="e">
        <f>VLOOKUP(D228,姓名檔!$A$2:$G$159,4,0)</f>
        <v>#N/A</v>
      </c>
      <c r="F228" s="56" t="s">
        <v>15</v>
      </c>
      <c r="G228" s="56" t="str">
        <f>VLOOKUP(F228,姓名檔!$H$3:$I$18,2)</f>
        <v>主日奉獻</v>
      </c>
      <c r="H228" s="56" t="e">
        <f>VLOOKUP(D228,姓名檔!$A$2:G$159,5,0)</f>
        <v>#N/A</v>
      </c>
      <c r="I228" s="56"/>
      <c r="J228" s="141"/>
      <c r="K228" s="96"/>
      <c r="L228" s="57"/>
      <c r="M228" s="72"/>
      <c r="N228" s="72"/>
    </row>
    <row r="229" spans="1:15" x14ac:dyDescent="0.3">
      <c r="A229" s="55">
        <v>46265</v>
      </c>
      <c r="B229" s="56">
        <f t="shared" si="30"/>
        <v>8</v>
      </c>
      <c r="C229" s="56">
        <f t="shared" si="29"/>
        <v>36</v>
      </c>
      <c r="D229" s="56"/>
      <c r="E229" s="56" t="e">
        <f>VLOOKUP(D229,姓名檔!$A$2:$G$159,4,0)</f>
        <v>#N/A</v>
      </c>
      <c r="F229" s="56" t="s">
        <v>15</v>
      </c>
      <c r="G229" s="56" t="str">
        <f>VLOOKUP(F229,姓名檔!$H$3:$I$18,2)</f>
        <v>主日奉獻</v>
      </c>
      <c r="H229" s="56" t="e">
        <f>VLOOKUP(D229,姓名檔!$A$2:G$159,5,0)</f>
        <v>#N/A</v>
      </c>
      <c r="I229" s="172"/>
      <c r="J229" s="141"/>
      <c r="K229" s="96"/>
      <c r="L229" s="57"/>
      <c r="M229" s="72"/>
      <c r="N229" s="72"/>
    </row>
    <row r="230" spans="1:15" x14ac:dyDescent="0.3">
      <c r="A230" s="55">
        <v>46265</v>
      </c>
      <c r="B230" s="56">
        <f t="shared" si="30"/>
        <v>8</v>
      </c>
      <c r="C230" s="56">
        <f t="shared" si="29"/>
        <v>36</v>
      </c>
      <c r="D230" s="56"/>
      <c r="E230" s="56" t="e">
        <f>VLOOKUP(D230,姓名檔!$A$2:$G$159,4,0)</f>
        <v>#N/A</v>
      </c>
      <c r="F230" s="56" t="s">
        <v>15</v>
      </c>
      <c r="G230" s="56" t="str">
        <f>VLOOKUP(F230,姓名檔!$H$3:$I$18,2)</f>
        <v>主日奉獻</v>
      </c>
      <c r="H230" s="56" t="e">
        <f>VLOOKUP(D230,姓名檔!$A$2:G$159,5,0)</f>
        <v>#N/A</v>
      </c>
      <c r="I230" s="56"/>
      <c r="J230" s="141"/>
      <c r="K230" s="96"/>
      <c r="L230" s="57"/>
      <c r="M230" s="73"/>
      <c r="N230" s="72"/>
      <c r="O230" t="s">
        <v>193</v>
      </c>
    </row>
    <row r="231" spans="1:15" x14ac:dyDescent="0.3">
      <c r="A231" s="55">
        <v>46272</v>
      </c>
      <c r="B231" s="56">
        <f t="shared" si="30"/>
        <v>9</v>
      </c>
      <c r="C231" s="56">
        <f t="shared" si="29"/>
        <v>37</v>
      </c>
      <c r="D231" s="56"/>
      <c r="E231" s="56" t="e">
        <f>VLOOKUP(D231,姓名檔!$A$2:$G$159,4,0)</f>
        <v>#N/A</v>
      </c>
      <c r="F231" s="56" t="s">
        <v>15</v>
      </c>
      <c r="G231" s="56" t="str">
        <f>VLOOKUP(F231,姓名檔!$H$3:$I$18,2)</f>
        <v>主日奉獻</v>
      </c>
      <c r="H231" s="56" t="e">
        <f>VLOOKUP(D231,姓名檔!$A$2:G$159,5,0)</f>
        <v>#N/A</v>
      </c>
      <c r="I231" s="56"/>
      <c r="J231" s="141"/>
      <c r="K231" s="96"/>
      <c r="L231" s="57"/>
      <c r="M231" s="72"/>
      <c r="N231" s="72"/>
    </row>
    <row r="232" spans="1:15" x14ac:dyDescent="0.3">
      <c r="A232" s="55">
        <v>46272</v>
      </c>
      <c r="B232" s="56">
        <f t="shared" si="30"/>
        <v>9</v>
      </c>
      <c r="C232" s="56">
        <f t="shared" si="29"/>
        <v>37</v>
      </c>
      <c r="D232" s="56"/>
      <c r="E232" s="56" t="e">
        <f>VLOOKUP(D232,姓名檔!$A$2:$G$159,4,0)</f>
        <v>#N/A</v>
      </c>
      <c r="F232" s="56" t="s">
        <v>15</v>
      </c>
      <c r="G232" s="56" t="str">
        <f>VLOOKUP(F232,姓名檔!$H$3:$I$18,2)</f>
        <v>主日奉獻</v>
      </c>
      <c r="H232" s="56" t="e">
        <f>VLOOKUP(D232,姓名檔!$A$2:G$159,5,0)</f>
        <v>#N/A</v>
      </c>
      <c r="I232" s="56"/>
      <c r="J232" s="141"/>
      <c r="K232" s="56"/>
      <c r="L232" s="57"/>
      <c r="M232" s="72"/>
      <c r="N232" s="72"/>
    </row>
    <row r="233" spans="1:15" x14ac:dyDescent="0.3">
      <c r="A233" s="55">
        <v>46272</v>
      </c>
      <c r="B233" s="56">
        <f t="shared" si="30"/>
        <v>9</v>
      </c>
      <c r="C233" s="56">
        <f t="shared" si="29"/>
        <v>37</v>
      </c>
      <c r="D233" s="56"/>
      <c r="E233" s="56" t="e">
        <f>VLOOKUP(D233,姓名檔!$A$2:$G$159,4,0)</f>
        <v>#N/A</v>
      </c>
      <c r="F233" s="56" t="s">
        <v>15</v>
      </c>
      <c r="G233" s="56" t="str">
        <f>VLOOKUP(F233,姓名檔!$H$3:$I$18,2)</f>
        <v>主日奉獻</v>
      </c>
      <c r="H233" s="56" t="e">
        <f>VLOOKUP(D233,姓名檔!$A$2:G$159,5,0)</f>
        <v>#N/A</v>
      </c>
      <c r="I233" s="56"/>
      <c r="J233" s="141"/>
      <c r="K233" s="56"/>
      <c r="L233" s="57"/>
      <c r="M233" s="72"/>
      <c r="N233" s="72"/>
    </row>
    <row r="234" spans="1:15" x14ac:dyDescent="0.3">
      <c r="A234" s="55">
        <v>46272</v>
      </c>
      <c r="B234" s="56">
        <f t="shared" si="30"/>
        <v>9</v>
      </c>
      <c r="C234" s="56">
        <f t="shared" si="29"/>
        <v>37</v>
      </c>
      <c r="D234" s="56"/>
      <c r="E234" s="56" t="e">
        <f>VLOOKUP(D234,姓名檔!$A$2:$G$159,4,0)</f>
        <v>#N/A</v>
      </c>
      <c r="F234" s="56" t="s">
        <v>15</v>
      </c>
      <c r="G234" s="56" t="str">
        <f>VLOOKUP(F234,姓名檔!$H$3:$I$18,2)</f>
        <v>主日奉獻</v>
      </c>
      <c r="H234" s="56" t="e">
        <f>VLOOKUP(D234,姓名檔!$A$2:G$159,5,0)</f>
        <v>#N/A</v>
      </c>
      <c r="I234" s="56"/>
      <c r="J234" s="141"/>
      <c r="K234" s="96"/>
      <c r="L234" s="57"/>
      <c r="M234" s="72"/>
      <c r="N234" s="72"/>
    </row>
    <row r="235" spans="1:15" x14ac:dyDescent="0.3">
      <c r="A235" s="55">
        <v>46272</v>
      </c>
      <c r="B235" s="56">
        <f t="shared" si="30"/>
        <v>9</v>
      </c>
      <c r="C235" s="56">
        <f t="shared" si="29"/>
        <v>37</v>
      </c>
      <c r="D235" s="56"/>
      <c r="E235" s="56" t="e">
        <f>VLOOKUP(D235,姓名檔!$A$2:$G$159,4,0)</f>
        <v>#N/A</v>
      </c>
      <c r="F235" s="56" t="s">
        <v>15</v>
      </c>
      <c r="G235" s="56" t="str">
        <f>VLOOKUP(F235,姓名檔!$H$3:$I$18,2)</f>
        <v>主日奉獻</v>
      </c>
      <c r="H235" s="56" t="e">
        <f>VLOOKUP(D235,姓名檔!$A$2:G$159,5,0)</f>
        <v>#N/A</v>
      </c>
      <c r="I235" s="56"/>
      <c r="J235" s="141"/>
      <c r="K235" s="56"/>
      <c r="L235" s="57"/>
      <c r="M235" s="72"/>
      <c r="N235" s="72"/>
    </row>
    <row r="236" spans="1:15" x14ac:dyDescent="0.3">
      <c r="A236" s="55">
        <v>46272</v>
      </c>
      <c r="B236" s="56">
        <f t="shared" si="30"/>
        <v>9</v>
      </c>
      <c r="C236" s="56">
        <f t="shared" si="29"/>
        <v>37</v>
      </c>
      <c r="D236" s="56"/>
      <c r="E236" s="56" t="e">
        <f>VLOOKUP(D236,姓名檔!$A$2:$G$159,4,0)</f>
        <v>#N/A</v>
      </c>
      <c r="F236" s="56" t="s">
        <v>15</v>
      </c>
      <c r="G236" s="56" t="str">
        <f>VLOOKUP(F236,姓名檔!$H$3:$I$18,2)</f>
        <v>主日奉獻</v>
      </c>
      <c r="H236" s="56" t="e">
        <f>VLOOKUP(D236,姓名檔!$A$2:G$159,5,0)</f>
        <v>#N/A</v>
      </c>
      <c r="I236" s="56"/>
      <c r="J236" s="141"/>
      <c r="K236" s="56"/>
      <c r="L236" s="57"/>
      <c r="M236" s="72"/>
      <c r="N236" s="72"/>
    </row>
    <row r="237" spans="1:15" x14ac:dyDescent="0.3">
      <c r="A237" s="55">
        <v>46272</v>
      </c>
      <c r="B237" s="56">
        <f t="shared" si="30"/>
        <v>9</v>
      </c>
      <c r="C237" s="56">
        <f t="shared" si="29"/>
        <v>37</v>
      </c>
      <c r="D237" s="56"/>
      <c r="E237" s="56" t="e">
        <f>VLOOKUP(D237,姓名檔!$A$2:$G$159,4,0)</f>
        <v>#N/A</v>
      </c>
      <c r="F237" s="56" t="s">
        <v>15</v>
      </c>
      <c r="G237" s="56" t="str">
        <f>VLOOKUP(F237,姓名檔!$H$3:$I$18,2)</f>
        <v>主日奉獻</v>
      </c>
      <c r="H237" s="56" t="e">
        <f>VLOOKUP(D237,姓名檔!$A$2:G$159,5,0)</f>
        <v>#N/A</v>
      </c>
      <c r="I237" s="56"/>
      <c r="J237" s="141"/>
      <c r="K237" s="96"/>
      <c r="L237" s="57"/>
      <c r="M237" s="72"/>
      <c r="N237" s="72"/>
    </row>
    <row r="238" spans="1:15" x14ac:dyDescent="0.3">
      <c r="A238" s="55">
        <v>46272</v>
      </c>
      <c r="B238" s="56">
        <f t="shared" si="30"/>
        <v>9</v>
      </c>
      <c r="C238" s="56">
        <f t="shared" si="29"/>
        <v>37</v>
      </c>
      <c r="D238" s="56"/>
      <c r="E238" s="56" t="e">
        <f>VLOOKUP(D238,姓名檔!$A$2:$G$159,4,0)</f>
        <v>#N/A</v>
      </c>
      <c r="F238" s="56" t="s">
        <v>15</v>
      </c>
      <c r="G238" s="56" t="str">
        <f>VLOOKUP(F238,姓名檔!$H$3:$I$18,2)</f>
        <v>主日奉獻</v>
      </c>
      <c r="H238" s="56" t="e">
        <f>VLOOKUP(D238,姓名檔!$A$2:G$159,5,0)</f>
        <v>#N/A</v>
      </c>
      <c r="I238" s="56"/>
      <c r="J238" s="141"/>
      <c r="K238" s="96"/>
      <c r="L238" s="57"/>
      <c r="M238" s="72"/>
      <c r="N238" s="72"/>
    </row>
    <row r="239" spans="1:15" x14ac:dyDescent="0.3">
      <c r="A239" s="55">
        <v>46279</v>
      </c>
      <c r="B239" s="56">
        <f t="shared" si="30"/>
        <v>9</v>
      </c>
      <c r="C239" s="56">
        <f t="shared" si="29"/>
        <v>38</v>
      </c>
      <c r="D239" s="56"/>
      <c r="E239" s="56" t="e">
        <f>VLOOKUP(D239,姓名檔!$A$2:$G$159,4,0)</f>
        <v>#N/A</v>
      </c>
      <c r="F239" s="56" t="s">
        <v>15</v>
      </c>
      <c r="G239" s="56" t="str">
        <f>VLOOKUP(F239,姓名檔!$H$3:$I$18,2)</f>
        <v>主日奉獻</v>
      </c>
      <c r="H239" s="56" t="e">
        <f>VLOOKUP(D239,姓名檔!$A$2:G$159,5,0)</f>
        <v>#N/A</v>
      </c>
      <c r="I239" s="56"/>
      <c r="J239" s="141"/>
      <c r="K239" s="56"/>
      <c r="L239" s="57"/>
      <c r="M239" s="72"/>
      <c r="N239" s="72"/>
    </row>
    <row r="240" spans="1:15" x14ac:dyDescent="0.3">
      <c r="A240" s="55">
        <v>46279</v>
      </c>
      <c r="B240" s="56">
        <f t="shared" si="30"/>
        <v>9</v>
      </c>
      <c r="C240" s="56">
        <f t="shared" si="29"/>
        <v>38</v>
      </c>
      <c r="D240" s="56"/>
      <c r="E240" s="56" t="e">
        <f>VLOOKUP(D240,姓名檔!$A$2:$G$159,4,0)</f>
        <v>#N/A</v>
      </c>
      <c r="F240" s="56" t="s">
        <v>15</v>
      </c>
      <c r="G240" s="56" t="str">
        <f>VLOOKUP(F240,姓名檔!$H$3:$I$18,2)</f>
        <v>主日奉獻</v>
      </c>
      <c r="H240" s="56" t="e">
        <f>VLOOKUP(D240,姓名檔!$A$2:G$159,5,0)</f>
        <v>#N/A</v>
      </c>
      <c r="I240" s="56"/>
      <c r="J240" s="141"/>
      <c r="K240" s="56"/>
      <c r="L240" s="57"/>
      <c r="M240" s="72"/>
      <c r="N240" s="72"/>
    </row>
    <row r="241" spans="1:14" x14ac:dyDescent="0.3">
      <c r="A241" s="55">
        <v>46279</v>
      </c>
      <c r="B241" s="56">
        <f t="shared" si="30"/>
        <v>9</v>
      </c>
      <c r="C241" s="56">
        <f t="shared" si="29"/>
        <v>38</v>
      </c>
      <c r="D241" s="56"/>
      <c r="E241" s="56" t="e">
        <f>VLOOKUP(D241,姓名檔!$A$2:$G$159,4,0)</f>
        <v>#N/A</v>
      </c>
      <c r="F241" s="56" t="s">
        <v>15</v>
      </c>
      <c r="G241" s="56" t="str">
        <f>VLOOKUP(F241,姓名檔!$H$3:$I$18,2)</f>
        <v>主日奉獻</v>
      </c>
      <c r="H241" s="56" t="e">
        <f>VLOOKUP(D241,姓名檔!$A$2:G$159,5,0)</f>
        <v>#N/A</v>
      </c>
      <c r="I241" s="56"/>
      <c r="J241" s="141"/>
      <c r="K241" s="96"/>
      <c r="L241" s="57"/>
      <c r="M241" s="72"/>
      <c r="N241" s="72"/>
    </row>
    <row r="242" spans="1:14" x14ac:dyDescent="0.3">
      <c r="A242" s="55">
        <v>46279</v>
      </c>
      <c r="B242" s="56">
        <f t="shared" si="30"/>
        <v>9</v>
      </c>
      <c r="C242" s="56">
        <f t="shared" si="29"/>
        <v>38</v>
      </c>
      <c r="D242" s="56"/>
      <c r="E242" s="56" t="e">
        <f>VLOOKUP(D242,姓名檔!$A$2:$G$159,4,0)</f>
        <v>#N/A</v>
      </c>
      <c r="F242" s="56" t="s">
        <v>15</v>
      </c>
      <c r="G242" s="56" t="str">
        <f>VLOOKUP(F242,姓名檔!$H$3:$I$18,2)</f>
        <v>主日奉獻</v>
      </c>
      <c r="H242" s="56" t="e">
        <f>VLOOKUP(D242,姓名檔!$A$2:G$159,5,0)</f>
        <v>#N/A</v>
      </c>
      <c r="I242" s="56"/>
      <c r="J242" s="141"/>
      <c r="K242" s="56"/>
      <c r="L242" s="57"/>
      <c r="M242" s="72"/>
      <c r="N242" s="72"/>
    </row>
    <row r="243" spans="1:14" x14ac:dyDescent="0.3">
      <c r="A243" s="55">
        <v>46279</v>
      </c>
      <c r="B243" s="56">
        <f t="shared" si="30"/>
        <v>9</v>
      </c>
      <c r="C243" s="56">
        <f t="shared" si="29"/>
        <v>38</v>
      </c>
      <c r="D243" s="56"/>
      <c r="E243" s="56" t="e">
        <f>VLOOKUP(D243,姓名檔!$A$2:$G$159,4,0)</f>
        <v>#N/A</v>
      </c>
      <c r="F243" s="56" t="s">
        <v>15</v>
      </c>
      <c r="G243" s="56" t="str">
        <f>VLOOKUP(F243,姓名檔!$H$3:$I$18,2)</f>
        <v>主日奉獻</v>
      </c>
      <c r="H243" s="56" t="e">
        <f>VLOOKUP(D243,姓名檔!$A$2:G$159,5,0)</f>
        <v>#N/A</v>
      </c>
      <c r="I243" s="56"/>
      <c r="J243" s="141"/>
      <c r="K243" s="56"/>
      <c r="L243" s="57"/>
      <c r="M243" s="72"/>
      <c r="N243" s="72"/>
    </row>
    <row r="244" spans="1:14" x14ac:dyDescent="0.3">
      <c r="A244" s="55">
        <v>46279</v>
      </c>
      <c r="B244" s="56">
        <f t="shared" si="30"/>
        <v>9</v>
      </c>
      <c r="C244" s="56">
        <f t="shared" si="29"/>
        <v>38</v>
      </c>
      <c r="D244" s="56"/>
      <c r="E244" s="56" t="e">
        <f>VLOOKUP(D244,姓名檔!$A$2:$G$159,4,0)</f>
        <v>#N/A</v>
      </c>
      <c r="F244" s="56" t="s">
        <v>15</v>
      </c>
      <c r="G244" s="56" t="str">
        <f>VLOOKUP(F244,姓名檔!$H$3:$I$18,2)</f>
        <v>主日奉獻</v>
      </c>
      <c r="H244" s="56" t="e">
        <f>VLOOKUP(D244,姓名檔!$A$2:G$159,5,0)</f>
        <v>#N/A</v>
      </c>
      <c r="I244" s="56"/>
      <c r="J244" s="141"/>
      <c r="K244" s="96"/>
      <c r="L244" s="57"/>
      <c r="M244" s="72"/>
      <c r="N244" s="72"/>
    </row>
    <row r="245" spans="1:14" x14ac:dyDescent="0.3">
      <c r="A245" s="55">
        <v>46286</v>
      </c>
      <c r="B245" s="56">
        <f t="shared" si="30"/>
        <v>9</v>
      </c>
      <c r="C245" s="56">
        <f t="shared" si="29"/>
        <v>39</v>
      </c>
      <c r="D245" s="56"/>
      <c r="E245" s="56" t="e">
        <f>VLOOKUP(D245,姓名檔!$A$2:$G$159,4,0)</f>
        <v>#N/A</v>
      </c>
      <c r="F245" s="56" t="s">
        <v>15</v>
      </c>
      <c r="G245" s="56" t="str">
        <f>VLOOKUP(F245,姓名檔!$H$3:$I$18,2)</f>
        <v>主日奉獻</v>
      </c>
      <c r="H245" s="56" t="e">
        <f>VLOOKUP(D245,姓名檔!$A$2:G$159,5,0)</f>
        <v>#N/A</v>
      </c>
      <c r="I245" s="56"/>
      <c r="J245" s="141"/>
      <c r="K245" s="96"/>
      <c r="L245" s="57"/>
      <c r="M245" s="72"/>
      <c r="N245" s="72"/>
    </row>
    <row r="246" spans="1:14" x14ac:dyDescent="0.3">
      <c r="A246" s="55">
        <v>46286</v>
      </c>
      <c r="B246" s="56">
        <f t="shared" si="30"/>
        <v>9</v>
      </c>
      <c r="C246" s="56">
        <f t="shared" ref="C246:C307" si="31">WEEKNUM(A246)</f>
        <v>39</v>
      </c>
      <c r="D246" s="56"/>
      <c r="E246" s="56" t="e">
        <f>VLOOKUP(D246,姓名檔!$A$2:$G$159,4,0)</f>
        <v>#N/A</v>
      </c>
      <c r="F246" s="56" t="s">
        <v>15</v>
      </c>
      <c r="G246" s="56" t="str">
        <f>VLOOKUP(F246,姓名檔!$H$3:$I$18,2)</f>
        <v>主日奉獻</v>
      </c>
      <c r="H246" s="56" t="e">
        <f>VLOOKUP(D246,姓名檔!$A$2:G$159,5,0)</f>
        <v>#N/A</v>
      </c>
      <c r="I246" s="56"/>
      <c r="J246" s="141"/>
      <c r="K246" s="96"/>
      <c r="L246" s="57"/>
      <c r="M246" s="72"/>
      <c r="N246" s="72"/>
    </row>
    <row r="247" spans="1:14" x14ac:dyDescent="0.3">
      <c r="A247" s="55">
        <v>46286</v>
      </c>
      <c r="B247" s="56">
        <f t="shared" ref="B247:B308" si="32">MONTH(A247)</f>
        <v>9</v>
      </c>
      <c r="C247" s="56">
        <f t="shared" si="31"/>
        <v>39</v>
      </c>
      <c r="D247" s="56"/>
      <c r="E247" s="56" t="e">
        <f>VLOOKUP(D247,姓名檔!$A$2:$G$159,4,0)</f>
        <v>#N/A</v>
      </c>
      <c r="F247" s="56" t="s">
        <v>15</v>
      </c>
      <c r="G247" s="56" t="str">
        <f>VLOOKUP(F247,姓名檔!$H$3:$I$18,2)</f>
        <v>主日奉獻</v>
      </c>
      <c r="H247" s="56" t="e">
        <f>VLOOKUP(D247,姓名檔!$A$2:G$159,5,0)</f>
        <v>#N/A</v>
      </c>
      <c r="I247" s="56"/>
      <c r="J247" s="141"/>
      <c r="K247" s="56"/>
      <c r="L247" s="57"/>
      <c r="M247" s="72"/>
      <c r="N247" s="72"/>
    </row>
    <row r="248" spans="1:14" x14ac:dyDescent="0.3">
      <c r="A248" s="55">
        <v>46286</v>
      </c>
      <c r="B248" s="56">
        <f t="shared" si="32"/>
        <v>9</v>
      </c>
      <c r="C248" s="56">
        <f t="shared" si="31"/>
        <v>39</v>
      </c>
      <c r="D248" s="56"/>
      <c r="E248" s="56" t="e">
        <f>VLOOKUP(D248,姓名檔!$A$2:$G$159,4,0)</f>
        <v>#N/A</v>
      </c>
      <c r="F248" s="56" t="s">
        <v>15</v>
      </c>
      <c r="G248" s="56" t="str">
        <f>VLOOKUP(F248,姓名檔!$H$3:$I$18,2)</f>
        <v>主日奉獻</v>
      </c>
      <c r="H248" s="56" t="e">
        <f>VLOOKUP(D248,姓名檔!$A$2:G$159,5,0)</f>
        <v>#N/A</v>
      </c>
      <c r="I248" s="56"/>
      <c r="J248" s="141"/>
      <c r="K248" s="56"/>
      <c r="L248" s="57"/>
      <c r="M248" s="72"/>
      <c r="N248" s="72"/>
    </row>
    <row r="249" spans="1:14" x14ac:dyDescent="0.3">
      <c r="A249" s="55">
        <v>46286</v>
      </c>
      <c r="B249" s="56">
        <f t="shared" si="32"/>
        <v>9</v>
      </c>
      <c r="C249" s="56">
        <f t="shared" si="31"/>
        <v>39</v>
      </c>
      <c r="D249" s="56"/>
      <c r="E249" s="56" t="e">
        <f>VLOOKUP(D249,姓名檔!$A$2:$G$159,4,0)</f>
        <v>#N/A</v>
      </c>
      <c r="F249" s="56" t="s">
        <v>15</v>
      </c>
      <c r="G249" s="56" t="str">
        <f>VLOOKUP(F249,姓名檔!$H$3:$I$18,2)</f>
        <v>主日奉獻</v>
      </c>
      <c r="H249" s="56" t="e">
        <f>VLOOKUP(D249,姓名檔!$A$2:G$159,5,0)</f>
        <v>#N/A</v>
      </c>
      <c r="I249" s="56"/>
      <c r="J249" s="141"/>
      <c r="K249" s="56"/>
      <c r="L249" s="57"/>
      <c r="M249" s="72"/>
      <c r="N249" s="72"/>
    </row>
    <row r="250" spans="1:14" x14ac:dyDescent="0.3">
      <c r="A250" s="55">
        <v>46286</v>
      </c>
      <c r="B250" s="56">
        <f t="shared" si="32"/>
        <v>9</v>
      </c>
      <c r="C250" s="56">
        <f t="shared" si="31"/>
        <v>39</v>
      </c>
      <c r="D250" s="56"/>
      <c r="E250" s="56" t="e">
        <f>VLOOKUP(D250,姓名檔!$A$2:$G$159,4,0)</f>
        <v>#N/A</v>
      </c>
      <c r="F250" s="56" t="s">
        <v>15</v>
      </c>
      <c r="G250" s="56" t="str">
        <f>VLOOKUP(F250,姓名檔!$H$3:$I$18,2)</f>
        <v>主日奉獻</v>
      </c>
      <c r="H250" s="56" t="e">
        <f>VLOOKUP(D250,姓名檔!$A$2:G$159,5,0)</f>
        <v>#N/A</v>
      </c>
      <c r="I250" s="56"/>
      <c r="J250" s="141"/>
      <c r="K250" s="56"/>
      <c r="L250" s="57"/>
      <c r="M250" s="72"/>
      <c r="N250" s="72"/>
    </row>
    <row r="251" spans="1:14" x14ac:dyDescent="0.3">
      <c r="A251" s="55">
        <v>46286</v>
      </c>
      <c r="B251" s="56">
        <f t="shared" si="32"/>
        <v>9</v>
      </c>
      <c r="C251" s="56">
        <f t="shared" si="31"/>
        <v>39</v>
      </c>
      <c r="D251" s="56"/>
      <c r="E251" s="56" t="e">
        <f>VLOOKUP(D251,姓名檔!$A$2:$G$159,4,0)</f>
        <v>#N/A</v>
      </c>
      <c r="F251" s="56" t="s">
        <v>15</v>
      </c>
      <c r="G251" s="56" t="str">
        <f>VLOOKUP(F251,姓名檔!$H$3:$I$18,2)</f>
        <v>主日奉獻</v>
      </c>
      <c r="H251" s="56" t="e">
        <f>VLOOKUP(D251,姓名檔!$A$2:G$159,5,0)</f>
        <v>#N/A</v>
      </c>
      <c r="I251" s="56"/>
      <c r="J251" s="141"/>
      <c r="K251" s="96"/>
      <c r="L251" s="57"/>
      <c r="M251" s="72"/>
      <c r="N251" s="72"/>
    </row>
    <row r="252" spans="1:14" x14ac:dyDescent="0.3">
      <c r="A252" s="55">
        <v>46293</v>
      </c>
      <c r="B252" s="56">
        <f t="shared" si="32"/>
        <v>9</v>
      </c>
      <c r="C252" s="56">
        <f t="shared" si="31"/>
        <v>40</v>
      </c>
      <c r="D252" s="56"/>
      <c r="E252" s="56" t="e">
        <f>VLOOKUP(D252,姓名檔!$A$2:$G$159,4,0)</f>
        <v>#N/A</v>
      </c>
      <c r="F252" s="56" t="s">
        <v>15</v>
      </c>
      <c r="G252" s="56" t="str">
        <f>VLOOKUP(F252,姓名檔!$H$3:$I$18,2)</f>
        <v>主日奉獻</v>
      </c>
      <c r="H252" s="56" t="e">
        <f>VLOOKUP(D252,姓名檔!$A$2:G$159,5,0)</f>
        <v>#N/A</v>
      </c>
      <c r="I252" s="56"/>
      <c r="J252" s="141"/>
      <c r="K252" s="171"/>
      <c r="L252" s="57"/>
      <c r="M252" s="72"/>
      <c r="N252" s="72"/>
    </row>
    <row r="253" spans="1:14" x14ac:dyDescent="0.3">
      <c r="A253" s="55">
        <v>46293</v>
      </c>
      <c r="B253" s="56">
        <f t="shared" si="32"/>
        <v>9</v>
      </c>
      <c r="C253" s="56">
        <f t="shared" si="31"/>
        <v>40</v>
      </c>
      <c r="D253" s="56"/>
      <c r="E253" s="56" t="e">
        <f>VLOOKUP(D253,姓名檔!$A$2:$G$159,4,0)</f>
        <v>#N/A</v>
      </c>
      <c r="F253" s="56" t="s">
        <v>15</v>
      </c>
      <c r="G253" s="56" t="str">
        <f>VLOOKUP(F253,姓名檔!$H$3:$I$18,2)</f>
        <v>主日奉獻</v>
      </c>
      <c r="H253" s="56" t="e">
        <f>VLOOKUP(D253,姓名檔!$A$2:G$159,5,0)</f>
        <v>#N/A</v>
      </c>
      <c r="I253" s="56"/>
      <c r="J253" s="141"/>
      <c r="K253" s="56"/>
      <c r="L253" s="57"/>
      <c r="M253" s="72"/>
      <c r="N253" s="72"/>
    </row>
    <row r="254" spans="1:14" x14ac:dyDescent="0.3">
      <c r="A254" s="55">
        <v>46293</v>
      </c>
      <c r="B254" s="56">
        <f t="shared" si="32"/>
        <v>9</v>
      </c>
      <c r="C254" s="56">
        <f t="shared" si="31"/>
        <v>40</v>
      </c>
      <c r="D254" s="56"/>
      <c r="E254" s="56" t="e">
        <f>VLOOKUP(D254,姓名檔!$A$2:$G$159,4,0)</f>
        <v>#N/A</v>
      </c>
      <c r="F254" s="56" t="s">
        <v>15</v>
      </c>
      <c r="G254" s="56" t="str">
        <f>VLOOKUP(F254,姓名檔!$H$3:$I$18,2)</f>
        <v>主日奉獻</v>
      </c>
      <c r="H254" s="56" t="e">
        <f>VLOOKUP(D254,姓名檔!$A$2:G$159,5,0)</f>
        <v>#N/A</v>
      </c>
      <c r="I254" s="56"/>
      <c r="J254" s="141"/>
      <c r="K254" s="96"/>
      <c r="L254" s="57"/>
      <c r="M254" s="73"/>
      <c r="N254" s="72"/>
    </row>
    <row r="255" spans="1:14" x14ac:dyDescent="0.3">
      <c r="A255" s="55">
        <v>46299</v>
      </c>
      <c r="B255" s="56">
        <f t="shared" si="32"/>
        <v>10</v>
      </c>
      <c r="C255" s="56">
        <f t="shared" si="31"/>
        <v>41</v>
      </c>
      <c r="D255" s="56"/>
      <c r="E255" s="56" t="e">
        <f>VLOOKUP(D255,姓名檔!$A$2:$G$159,4,0)</f>
        <v>#N/A</v>
      </c>
      <c r="F255" s="56" t="s">
        <v>15</v>
      </c>
      <c r="G255" s="56" t="str">
        <f>VLOOKUP(F255,姓名檔!$H$3:$I$18,2)</f>
        <v>主日奉獻</v>
      </c>
      <c r="H255" s="56" t="e">
        <f>VLOOKUP(D255,姓名檔!$A$2:G$159,5,0)</f>
        <v>#N/A</v>
      </c>
      <c r="I255" s="56"/>
      <c r="J255" s="141"/>
      <c r="K255" s="96"/>
      <c r="L255" s="57"/>
      <c r="M255" s="72"/>
      <c r="N255" s="72"/>
    </row>
    <row r="256" spans="1:14" x14ac:dyDescent="0.3">
      <c r="A256" s="55">
        <v>46299</v>
      </c>
      <c r="B256" s="56">
        <f t="shared" si="32"/>
        <v>10</v>
      </c>
      <c r="C256" s="56">
        <f t="shared" si="31"/>
        <v>41</v>
      </c>
      <c r="D256" s="56"/>
      <c r="E256" s="56" t="e">
        <f>VLOOKUP(D256,姓名檔!$A$2:$G$159,4,0)</f>
        <v>#N/A</v>
      </c>
      <c r="F256" s="56" t="s">
        <v>15</v>
      </c>
      <c r="G256" s="56" t="str">
        <f>VLOOKUP(F256,姓名檔!$H$3:$I$18,2)</f>
        <v>主日奉獻</v>
      </c>
      <c r="H256" s="56" t="e">
        <f>VLOOKUP(D256,姓名檔!$A$2:G$159,5,0)</f>
        <v>#N/A</v>
      </c>
      <c r="I256" s="56"/>
      <c r="J256" s="141"/>
      <c r="K256" s="56"/>
      <c r="L256" s="57"/>
      <c r="M256" s="72"/>
      <c r="N256" s="72"/>
    </row>
    <row r="257" spans="1:14" x14ac:dyDescent="0.3">
      <c r="A257" s="55">
        <v>46299</v>
      </c>
      <c r="B257" s="56">
        <f t="shared" si="32"/>
        <v>10</v>
      </c>
      <c r="C257" s="56">
        <f t="shared" si="31"/>
        <v>41</v>
      </c>
      <c r="D257" s="56"/>
      <c r="E257" s="56" t="e">
        <f>VLOOKUP(D257,姓名檔!$A$2:$G$159,4,0)</f>
        <v>#N/A</v>
      </c>
      <c r="F257" s="56" t="s">
        <v>15</v>
      </c>
      <c r="G257" s="56" t="str">
        <f>VLOOKUP(F257,姓名檔!$H$3:$I$18,2)</f>
        <v>主日奉獻</v>
      </c>
      <c r="H257" s="56" t="e">
        <f>VLOOKUP(D257,姓名檔!$A$2:G$159,5,0)</f>
        <v>#N/A</v>
      </c>
      <c r="I257" s="56"/>
      <c r="J257" s="141"/>
      <c r="K257" s="96"/>
      <c r="L257" s="57"/>
      <c r="M257" s="72"/>
      <c r="N257" s="72"/>
    </row>
    <row r="258" spans="1:14" x14ac:dyDescent="0.3">
      <c r="A258" s="55">
        <v>46307</v>
      </c>
      <c r="B258" s="56">
        <f t="shared" si="32"/>
        <v>10</v>
      </c>
      <c r="C258" s="56">
        <f t="shared" si="31"/>
        <v>42</v>
      </c>
      <c r="D258" s="56"/>
      <c r="E258" s="56" t="e">
        <f>VLOOKUP(D258,姓名檔!$A$2:$G$159,4,0)</f>
        <v>#N/A</v>
      </c>
      <c r="F258" s="56" t="s">
        <v>15</v>
      </c>
      <c r="G258" s="56" t="str">
        <f>VLOOKUP(F258,姓名檔!$H$3:$I$18,2)</f>
        <v>主日奉獻</v>
      </c>
      <c r="H258" s="56" t="e">
        <f>VLOOKUP(D258,姓名檔!$A$2:G$159,5,0)</f>
        <v>#N/A</v>
      </c>
      <c r="I258" s="56"/>
      <c r="J258" s="141"/>
      <c r="K258" s="56"/>
      <c r="L258" s="57"/>
      <c r="M258" s="72"/>
      <c r="N258" s="72"/>
    </row>
    <row r="259" spans="1:14" x14ac:dyDescent="0.3">
      <c r="A259" s="55">
        <v>46307</v>
      </c>
      <c r="B259" s="56">
        <f t="shared" si="32"/>
        <v>10</v>
      </c>
      <c r="C259" s="56">
        <f t="shared" si="31"/>
        <v>42</v>
      </c>
      <c r="D259" s="56"/>
      <c r="E259" s="56" t="e">
        <f>VLOOKUP(D259,姓名檔!$A$2:$G$159,4,0)</f>
        <v>#N/A</v>
      </c>
      <c r="F259" s="56" t="s">
        <v>15</v>
      </c>
      <c r="G259" s="56" t="str">
        <f>VLOOKUP(F259,姓名檔!$H$3:$I$18,2)</f>
        <v>主日奉獻</v>
      </c>
      <c r="H259" s="56" t="e">
        <f>VLOOKUP(D259,姓名檔!$A$2:G$159,5,0)</f>
        <v>#N/A</v>
      </c>
      <c r="I259" s="56"/>
      <c r="J259" s="141"/>
      <c r="K259" s="56"/>
      <c r="L259" s="57"/>
      <c r="M259" s="72"/>
      <c r="N259" s="72"/>
    </row>
    <row r="260" spans="1:14" x14ac:dyDescent="0.3">
      <c r="A260" s="55">
        <v>46307</v>
      </c>
      <c r="B260" s="56">
        <f t="shared" si="32"/>
        <v>10</v>
      </c>
      <c r="C260" s="56">
        <f t="shared" si="31"/>
        <v>42</v>
      </c>
      <c r="D260" s="56"/>
      <c r="E260" s="56" t="e">
        <f>VLOOKUP(D260,姓名檔!$A$2:$G$159,4,0)</f>
        <v>#N/A</v>
      </c>
      <c r="F260" s="56" t="s">
        <v>15</v>
      </c>
      <c r="G260" s="56" t="str">
        <f>VLOOKUP(F260,姓名檔!$H$3:$I$18,2)</f>
        <v>主日奉獻</v>
      </c>
      <c r="H260" s="56" t="e">
        <f>VLOOKUP(D260,姓名檔!$A$2:G$159,5,0)</f>
        <v>#N/A</v>
      </c>
      <c r="I260" s="56"/>
      <c r="J260" s="141"/>
      <c r="K260" s="56"/>
      <c r="L260" s="57"/>
      <c r="M260" s="72"/>
      <c r="N260" s="72"/>
    </row>
    <row r="261" spans="1:14" x14ac:dyDescent="0.3">
      <c r="A261" s="55">
        <v>46307</v>
      </c>
      <c r="B261" s="56">
        <f t="shared" si="32"/>
        <v>10</v>
      </c>
      <c r="C261" s="56">
        <f t="shared" si="31"/>
        <v>42</v>
      </c>
      <c r="D261" s="56"/>
      <c r="E261" s="56" t="e">
        <f>VLOOKUP(D261,姓名檔!$A$2:$G$159,4,0)</f>
        <v>#N/A</v>
      </c>
      <c r="F261" s="56" t="s">
        <v>15</v>
      </c>
      <c r="G261" s="56" t="str">
        <f>VLOOKUP(F261,姓名檔!$H$3:$I$18,2)</f>
        <v>主日奉獻</v>
      </c>
      <c r="H261" s="56" t="e">
        <f>VLOOKUP(D261,姓名檔!$A$2:G$159,5,0)</f>
        <v>#N/A</v>
      </c>
      <c r="I261" s="56"/>
      <c r="J261" s="141"/>
      <c r="K261" s="56"/>
      <c r="L261" s="57"/>
      <c r="M261" s="72"/>
      <c r="N261" s="72"/>
    </row>
    <row r="262" spans="1:14" x14ac:dyDescent="0.3">
      <c r="A262" s="55">
        <v>46307</v>
      </c>
      <c r="B262" s="56">
        <f t="shared" si="32"/>
        <v>10</v>
      </c>
      <c r="C262" s="56">
        <f t="shared" si="31"/>
        <v>42</v>
      </c>
      <c r="D262" s="56"/>
      <c r="E262" s="56" t="e">
        <f>VLOOKUP(D262,姓名檔!$A$2:$G$159,4,0)</f>
        <v>#N/A</v>
      </c>
      <c r="F262" s="56" t="s">
        <v>15</v>
      </c>
      <c r="G262" s="56" t="str">
        <f>VLOOKUP(F262,姓名檔!$H$3:$I$18,2)</f>
        <v>主日奉獻</v>
      </c>
      <c r="H262" s="56" t="e">
        <f>VLOOKUP(D262,姓名檔!$A$2:G$159,5,0)</f>
        <v>#N/A</v>
      </c>
      <c r="I262" s="56"/>
      <c r="J262" s="141"/>
      <c r="K262" s="56"/>
      <c r="L262" s="57"/>
      <c r="M262" s="72"/>
      <c r="N262" s="72"/>
    </row>
    <row r="263" spans="1:14" x14ac:dyDescent="0.3">
      <c r="A263" s="55">
        <v>46307</v>
      </c>
      <c r="B263" s="56">
        <f t="shared" si="32"/>
        <v>10</v>
      </c>
      <c r="C263" s="56">
        <f t="shared" si="31"/>
        <v>42</v>
      </c>
      <c r="D263" s="56"/>
      <c r="E263" s="56" t="e">
        <f>VLOOKUP(D263,姓名檔!$A$2:$G$159,4,0)</f>
        <v>#N/A</v>
      </c>
      <c r="F263" s="56" t="s">
        <v>15</v>
      </c>
      <c r="G263" s="56" t="str">
        <f>VLOOKUP(F263,姓名檔!$H$3:$I$18,2)</f>
        <v>主日奉獻</v>
      </c>
      <c r="H263" s="56" t="e">
        <f>VLOOKUP(D263,姓名檔!$A$2:G$159,5,0)</f>
        <v>#N/A</v>
      </c>
      <c r="I263" s="56"/>
      <c r="J263" s="141"/>
      <c r="K263" s="56"/>
      <c r="L263" s="57"/>
      <c r="M263" s="72"/>
      <c r="N263" s="72"/>
    </row>
    <row r="264" spans="1:14" x14ac:dyDescent="0.3">
      <c r="A264" s="55">
        <v>46307</v>
      </c>
      <c r="B264" s="56">
        <f t="shared" si="32"/>
        <v>10</v>
      </c>
      <c r="C264" s="56">
        <f t="shared" si="31"/>
        <v>42</v>
      </c>
      <c r="D264" s="56"/>
      <c r="E264" s="56" t="e">
        <f>VLOOKUP(D264,姓名檔!$A$2:$G$159,4,0)</f>
        <v>#N/A</v>
      </c>
      <c r="F264" s="56" t="s">
        <v>15</v>
      </c>
      <c r="G264" s="56" t="str">
        <f>VLOOKUP(F264,姓名檔!$H$3:$I$18,2)</f>
        <v>主日奉獻</v>
      </c>
      <c r="H264" s="56" t="e">
        <f>VLOOKUP(D264,姓名檔!$A$2:G$159,5,0)</f>
        <v>#N/A</v>
      </c>
      <c r="I264" s="56"/>
      <c r="J264" s="141"/>
      <c r="K264" s="96"/>
      <c r="L264" s="57"/>
      <c r="M264" s="72"/>
      <c r="N264" s="72"/>
    </row>
    <row r="265" spans="1:14" x14ac:dyDescent="0.3">
      <c r="A265" s="55">
        <v>46314</v>
      </c>
      <c r="B265" s="56">
        <f t="shared" si="32"/>
        <v>10</v>
      </c>
      <c r="C265" s="56">
        <f t="shared" si="31"/>
        <v>43</v>
      </c>
      <c r="D265" s="56"/>
      <c r="E265" s="56" t="e">
        <f>VLOOKUP(D265,姓名檔!$A$2:$G$159,4,0)</f>
        <v>#N/A</v>
      </c>
      <c r="F265" s="56" t="s">
        <v>15</v>
      </c>
      <c r="G265" s="56" t="str">
        <f>VLOOKUP(F265,姓名檔!$H$3:$I$18,2)</f>
        <v>主日奉獻</v>
      </c>
      <c r="H265" s="56" t="e">
        <f>VLOOKUP(D265,姓名檔!$A$2:G$159,5,0)</f>
        <v>#N/A</v>
      </c>
      <c r="I265" s="56"/>
      <c r="J265" s="141"/>
      <c r="K265" s="56"/>
      <c r="L265" s="57"/>
      <c r="M265" s="72"/>
      <c r="N265" s="72"/>
    </row>
    <row r="266" spans="1:14" x14ac:dyDescent="0.3">
      <c r="A266" s="55">
        <v>46314</v>
      </c>
      <c r="B266" s="56">
        <f t="shared" si="32"/>
        <v>10</v>
      </c>
      <c r="C266" s="56">
        <f t="shared" si="31"/>
        <v>43</v>
      </c>
      <c r="D266" s="56"/>
      <c r="E266" s="56" t="e">
        <f>VLOOKUP(D266,姓名檔!$A$2:$G$159,4,0)</f>
        <v>#N/A</v>
      </c>
      <c r="F266" s="56" t="s">
        <v>15</v>
      </c>
      <c r="G266" s="56" t="str">
        <f>VLOOKUP(F266,姓名檔!$H$3:$I$18,2)</f>
        <v>主日奉獻</v>
      </c>
      <c r="H266" s="56" t="e">
        <f>VLOOKUP(D266,姓名檔!$A$2:G$159,5,0)</f>
        <v>#N/A</v>
      </c>
      <c r="I266" s="56"/>
      <c r="J266" s="141"/>
      <c r="K266" s="96"/>
      <c r="L266" s="57"/>
      <c r="M266" s="72"/>
      <c r="N266" s="72"/>
    </row>
    <row r="267" spans="1:14" x14ac:dyDescent="0.3">
      <c r="A267" s="55">
        <v>46314</v>
      </c>
      <c r="B267" s="56">
        <f t="shared" si="32"/>
        <v>10</v>
      </c>
      <c r="C267" s="56">
        <f t="shared" si="31"/>
        <v>43</v>
      </c>
      <c r="D267" s="56"/>
      <c r="E267" s="56" t="e">
        <f>VLOOKUP(D267,姓名檔!$A$2:$G$159,4,0)</f>
        <v>#N/A</v>
      </c>
      <c r="F267" s="56" t="s">
        <v>15</v>
      </c>
      <c r="G267" s="56" t="str">
        <f>VLOOKUP(F267,姓名檔!$H$3:$I$18,2)</f>
        <v>主日奉獻</v>
      </c>
      <c r="H267" s="56" t="e">
        <f>VLOOKUP(D267,姓名檔!$A$2:G$159,5,0)</f>
        <v>#N/A</v>
      </c>
      <c r="I267" s="56"/>
      <c r="J267" s="141"/>
      <c r="K267" s="96"/>
      <c r="L267" s="57"/>
      <c r="M267" s="72"/>
      <c r="N267" s="72"/>
    </row>
    <row r="268" spans="1:14" x14ac:dyDescent="0.3">
      <c r="A268" s="55">
        <v>46314</v>
      </c>
      <c r="B268" s="56">
        <f t="shared" si="32"/>
        <v>10</v>
      </c>
      <c r="C268" s="56">
        <f t="shared" si="31"/>
        <v>43</v>
      </c>
      <c r="D268" s="56"/>
      <c r="E268" s="56" t="e">
        <f>VLOOKUP(D268,姓名檔!$A$2:$G$159,4,0)</f>
        <v>#N/A</v>
      </c>
      <c r="F268" s="56" t="s">
        <v>15</v>
      </c>
      <c r="G268" s="56" t="str">
        <f>VLOOKUP(F268,姓名檔!$H$3:$I$18,2)</f>
        <v>主日奉獻</v>
      </c>
      <c r="H268" s="56" t="e">
        <f>VLOOKUP(D268,姓名檔!$A$2:G$159,5,0)</f>
        <v>#N/A</v>
      </c>
      <c r="I268" s="56"/>
      <c r="J268" s="141"/>
      <c r="K268" s="56"/>
      <c r="L268" s="57"/>
      <c r="M268" s="72"/>
      <c r="N268" s="72"/>
    </row>
    <row r="269" spans="1:14" x14ac:dyDescent="0.3">
      <c r="A269" s="55">
        <v>46314</v>
      </c>
      <c r="B269" s="56">
        <f t="shared" si="32"/>
        <v>10</v>
      </c>
      <c r="C269" s="56">
        <f t="shared" si="31"/>
        <v>43</v>
      </c>
      <c r="D269" s="56"/>
      <c r="E269" s="56" t="e">
        <f>VLOOKUP(D269,姓名檔!$A$2:$G$159,4,0)</f>
        <v>#N/A</v>
      </c>
      <c r="F269" s="56" t="s">
        <v>15</v>
      </c>
      <c r="G269" s="56" t="str">
        <f>VLOOKUP(F269,姓名檔!$H$3:$I$18,2)</f>
        <v>主日奉獻</v>
      </c>
      <c r="H269" s="56" t="e">
        <f>VLOOKUP(D269,姓名檔!$A$2:G$159,5,0)</f>
        <v>#N/A</v>
      </c>
      <c r="I269" s="56"/>
      <c r="J269" s="141"/>
      <c r="K269" s="56"/>
      <c r="L269" s="57"/>
      <c r="M269" s="72"/>
      <c r="N269" s="72"/>
    </row>
    <row r="270" spans="1:14" x14ac:dyDescent="0.3">
      <c r="A270" s="55">
        <v>46314</v>
      </c>
      <c r="B270" s="56">
        <f t="shared" si="32"/>
        <v>10</v>
      </c>
      <c r="C270" s="56">
        <f t="shared" si="31"/>
        <v>43</v>
      </c>
      <c r="D270" s="56"/>
      <c r="E270" s="56" t="e">
        <f>VLOOKUP(D270,姓名檔!$A$2:$G$159,4,0)</f>
        <v>#N/A</v>
      </c>
      <c r="F270" s="56" t="s">
        <v>15</v>
      </c>
      <c r="G270" s="56" t="str">
        <f>VLOOKUP(F270,姓名檔!$H$3:$I$18,2)</f>
        <v>主日奉獻</v>
      </c>
      <c r="H270" s="56" t="e">
        <f>VLOOKUP(D270,姓名檔!$A$2:G$159,5,0)</f>
        <v>#N/A</v>
      </c>
      <c r="I270" s="56"/>
      <c r="J270" s="141"/>
      <c r="K270" s="96"/>
      <c r="L270" s="57"/>
      <c r="M270" s="72"/>
      <c r="N270" s="72"/>
    </row>
    <row r="271" spans="1:14" x14ac:dyDescent="0.3">
      <c r="A271" s="55">
        <v>46321</v>
      </c>
      <c r="B271" s="56">
        <f t="shared" si="32"/>
        <v>10</v>
      </c>
      <c r="C271" s="56">
        <f t="shared" si="31"/>
        <v>44</v>
      </c>
      <c r="D271" s="56"/>
      <c r="E271" s="56" t="e">
        <f>VLOOKUP(D271,姓名檔!$A$2:$G$159,4,0)</f>
        <v>#N/A</v>
      </c>
      <c r="F271" s="56" t="s">
        <v>15</v>
      </c>
      <c r="G271" s="56" t="str">
        <f>VLOOKUP(F271,姓名檔!$H$3:$I$18,2)</f>
        <v>主日奉獻</v>
      </c>
      <c r="H271" s="56" t="e">
        <f>VLOOKUP(D271,姓名檔!$A$2:G$159,5,0)</f>
        <v>#N/A</v>
      </c>
      <c r="I271" s="56"/>
      <c r="J271" s="141"/>
      <c r="K271" s="96"/>
      <c r="L271" s="57"/>
      <c r="M271" s="72"/>
      <c r="N271" s="72"/>
    </row>
    <row r="272" spans="1:14" x14ac:dyDescent="0.3">
      <c r="A272" s="55">
        <v>46321</v>
      </c>
      <c r="B272" s="56">
        <f t="shared" si="32"/>
        <v>10</v>
      </c>
      <c r="C272" s="56">
        <f t="shared" si="31"/>
        <v>44</v>
      </c>
      <c r="D272" s="56"/>
      <c r="E272" s="56" t="e">
        <f>VLOOKUP(D272,姓名檔!$A$2:$G$159,4,0)</f>
        <v>#N/A</v>
      </c>
      <c r="F272" s="56" t="s">
        <v>15</v>
      </c>
      <c r="G272" s="56" t="str">
        <f>VLOOKUP(F272,姓名檔!$H$3:$I$18,2)</f>
        <v>主日奉獻</v>
      </c>
      <c r="H272" s="56" t="e">
        <f>VLOOKUP(D272,姓名檔!$A$2:G$159,5,0)</f>
        <v>#N/A</v>
      </c>
      <c r="I272" s="56"/>
      <c r="J272" s="141"/>
      <c r="K272" s="56"/>
      <c r="L272" s="57"/>
      <c r="M272" s="72"/>
      <c r="N272" s="72"/>
    </row>
    <row r="273" spans="1:14" x14ac:dyDescent="0.3">
      <c r="A273" s="55">
        <v>46321</v>
      </c>
      <c r="B273" s="56">
        <f t="shared" si="32"/>
        <v>10</v>
      </c>
      <c r="C273" s="56">
        <f t="shared" si="31"/>
        <v>44</v>
      </c>
      <c r="D273" s="56"/>
      <c r="E273" s="56" t="e">
        <f>VLOOKUP(D273,姓名檔!$A$2:$G$159,4,0)</f>
        <v>#N/A</v>
      </c>
      <c r="F273" s="56" t="s">
        <v>15</v>
      </c>
      <c r="G273" s="56" t="str">
        <f>VLOOKUP(F273,姓名檔!$H$3:$I$18,2)</f>
        <v>主日奉獻</v>
      </c>
      <c r="H273" s="56" t="e">
        <f>VLOOKUP(D273,姓名檔!$A$2:G$159,5,0)</f>
        <v>#N/A</v>
      </c>
      <c r="I273" s="56"/>
      <c r="J273" s="141"/>
      <c r="K273" s="96"/>
      <c r="L273" s="57"/>
      <c r="M273" s="72"/>
      <c r="N273" s="72"/>
    </row>
    <row r="274" spans="1:14" x14ac:dyDescent="0.3">
      <c r="A274" s="55">
        <v>46321</v>
      </c>
      <c r="B274" s="56">
        <f t="shared" si="32"/>
        <v>10</v>
      </c>
      <c r="C274" s="56">
        <f t="shared" si="31"/>
        <v>44</v>
      </c>
      <c r="D274" s="56"/>
      <c r="E274" s="56" t="e">
        <f>VLOOKUP(D274,姓名檔!$A$2:$G$159,4,0)</f>
        <v>#N/A</v>
      </c>
      <c r="F274" s="56" t="s">
        <v>15</v>
      </c>
      <c r="G274" s="56" t="str">
        <f>VLOOKUP(F274,姓名檔!$H$3:$I$18,2)</f>
        <v>主日奉獻</v>
      </c>
      <c r="H274" s="56" t="e">
        <f>VLOOKUP(D274,姓名檔!$A$2:G$159,5,0)</f>
        <v>#N/A</v>
      </c>
      <c r="I274" s="56"/>
      <c r="J274" s="141"/>
      <c r="K274" s="96"/>
      <c r="L274" s="57"/>
      <c r="M274" s="73"/>
      <c r="N274" s="72"/>
    </row>
    <row r="275" spans="1:14" x14ac:dyDescent="0.3">
      <c r="A275" s="55">
        <v>46328</v>
      </c>
      <c r="B275" s="56">
        <f t="shared" si="32"/>
        <v>11</v>
      </c>
      <c r="C275" s="56">
        <f t="shared" si="31"/>
        <v>45</v>
      </c>
      <c r="D275" s="56"/>
      <c r="E275" s="56" t="e">
        <f>VLOOKUP(D275,姓名檔!$A$2:$G$159,4,0)</f>
        <v>#N/A</v>
      </c>
      <c r="F275" s="56" t="s">
        <v>15</v>
      </c>
      <c r="G275" s="56" t="str">
        <f>VLOOKUP(F275,姓名檔!$H$3:$I$18,2)</f>
        <v>主日奉獻</v>
      </c>
      <c r="H275" s="56" t="e">
        <f>VLOOKUP(D275,姓名檔!$A$2:G$159,5,0)</f>
        <v>#N/A</v>
      </c>
      <c r="I275" s="56"/>
      <c r="J275" s="141"/>
      <c r="K275" s="96"/>
      <c r="L275" s="57"/>
      <c r="M275" s="72"/>
      <c r="N275" s="72"/>
    </row>
    <row r="276" spans="1:14" x14ac:dyDescent="0.3">
      <c r="A276" s="55">
        <v>46328</v>
      </c>
      <c r="B276" s="56">
        <f t="shared" si="32"/>
        <v>11</v>
      </c>
      <c r="C276" s="56">
        <f t="shared" si="31"/>
        <v>45</v>
      </c>
      <c r="D276" s="56"/>
      <c r="E276" s="56" t="e">
        <f>VLOOKUP(D276,姓名檔!$A$2:$G$159,4,0)</f>
        <v>#N/A</v>
      </c>
      <c r="F276" s="56" t="s">
        <v>15</v>
      </c>
      <c r="G276" s="56" t="str">
        <f>VLOOKUP(F276,姓名檔!$H$3:$I$18,2)</f>
        <v>主日奉獻</v>
      </c>
      <c r="H276" s="56" t="e">
        <f>VLOOKUP(D276,姓名檔!$A$2:G$159,5,0)</f>
        <v>#N/A</v>
      </c>
      <c r="I276" s="56"/>
      <c r="J276" s="141"/>
      <c r="K276" s="56"/>
      <c r="L276" s="57"/>
      <c r="M276" s="72"/>
      <c r="N276" s="72"/>
    </row>
    <row r="277" spans="1:14" x14ac:dyDescent="0.3">
      <c r="A277" s="55">
        <v>46328</v>
      </c>
      <c r="B277" s="56">
        <f t="shared" si="32"/>
        <v>11</v>
      </c>
      <c r="C277" s="56">
        <f t="shared" si="31"/>
        <v>45</v>
      </c>
      <c r="D277" s="56"/>
      <c r="E277" s="56" t="e">
        <f>VLOOKUP(D277,姓名檔!$A$2:$G$159,4,0)</f>
        <v>#N/A</v>
      </c>
      <c r="F277" s="56" t="s">
        <v>15</v>
      </c>
      <c r="G277" s="56" t="str">
        <f>VLOOKUP(F277,姓名檔!$H$3:$I$18,2)</f>
        <v>主日奉獻</v>
      </c>
      <c r="H277" s="56" t="e">
        <f>VLOOKUP(D277,姓名檔!$A$2:G$159,5,0)</f>
        <v>#N/A</v>
      </c>
      <c r="I277" s="56"/>
      <c r="J277" s="141"/>
      <c r="K277" s="56"/>
      <c r="L277" s="57"/>
      <c r="M277" s="72"/>
      <c r="N277" s="72"/>
    </row>
    <row r="278" spans="1:14" x14ac:dyDescent="0.3">
      <c r="A278" s="55">
        <v>46328</v>
      </c>
      <c r="B278" s="56">
        <f t="shared" si="32"/>
        <v>11</v>
      </c>
      <c r="C278" s="56">
        <f t="shared" si="31"/>
        <v>45</v>
      </c>
      <c r="D278" s="56"/>
      <c r="E278" s="56" t="e">
        <f>VLOOKUP(D278,姓名檔!$A$2:$G$159,4,0)</f>
        <v>#N/A</v>
      </c>
      <c r="F278" s="56" t="s">
        <v>15</v>
      </c>
      <c r="G278" s="56" t="str">
        <f>VLOOKUP(F278,姓名檔!$H$3:$I$18,2)</f>
        <v>主日奉獻</v>
      </c>
      <c r="H278" s="56" t="e">
        <f>VLOOKUP(D278,姓名檔!$A$2:G$159,5,0)</f>
        <v>#N/A</v>
      </c>
      <c r="I278" s="56"/>
      <c r="J278" s="141"/>
      <c r="K278" s="56"/>
      <c r="L278" s="57"/>
      <c r="M278" s="72"/>
      <c r="N278" s="72"/>
    </row>
    <row r="279" spans="1:14" x14ac:dyDescent="0.3">
      <c r="A279" s="55">
        <v>46328</v>
      </c>
      <c r="B279" s="56">
        <f t="shared" si="32"/>
        <v>11</v>
      </c>
      <c r="C279" s="56">
        <f t="shared" si="31"/>
        <v>45</v>
      </c>
      <c r="D279" s="56"/>
      <c r="E279" s="56" t="e">
        <f>VLOOKUP(D279,姓名檔!$A$2:$G$159,4,0)</f>
        <v>#N/A</v>
      </c>
      <c r="F279" s="56" t="s">
        <v>15</v>
      </c>
      <c r="G279" s="56" t="str">
        <f>VLOOKUP(F279,姓名檔!$H$3:$I$18,2)</f>
        <v>主日奉獻</v>
      </c>
      <c r="H279" s="56" t="e">
        <f>VLOOKUP(D279,姓名檔!$A$2:G$159,5,0)</f>
        <v>#N/A</v>
      </c>
      <c r="I279" s="56"/>
      <c r="J279" s="141"/>
      <c r="K279" s="56"/>
      <c r="L279" s="57"/>
      <c r="M279" s="72"/>
      <c r="N279" s="72"/>
    </row>
    <row r="280" spans="1:14" x14ac:dyDescent="0.3">
      <c r="A280" s="55">
        <v>46328</v>
      </c>
      <c r="B280" s="56">
        <f t="shared" si="32"/>
        <v>11</v>
      </c>
      <c r="C280" s="56">
        <f t="shared" si="31"/>
        <v>45</v>
      </c>
      <c r="D280" s="56"/>
      <c r="E280" s="56" t="e">
        <f>VLOOKUP(D280,姓名檔!$A$2:$G$159,4,0)</f>
        <v>#N/A</v>
      </c>
      <c r="F280" s="56" t="s">
        <v>15</v>
      </c>
      <c r="G280" s="56" t="str">
        <f>VLOOKUP(F280,姓名檔!$H$3:$I$18,2)</f>
        <v>主日奉獻</v>
      </c>
      <c r="H280" s="56" t="e">
        <f>VLOOKUP(D280,姓名檔!$A$2:G$159,5,0)</f>
        <v>#N/A</v>
      </c>
      <c r="I280" s="173"/>
      <c r="J280" s="141"/>
      <c r="K280" s="174"/>
      <c r="L280" s="57"/>
      <c r="M280" s="72"/>
      <c r="N280" s="72"/>
    </row>
    <row r="281" spans="1:14" x14ac:dyDescent="0.3">
      <c r="A281" s="55">
        <v>46328</v>
      </c>
      <c r="B281" s="56">
        <f t="shared" si="32"/>
        <v>11</v>
      </c>
      <c r="C281" s="56">
        <f t="shared" si="31"/>
        <v>45</v>
      </c>
      <c r="D281" s="56"/>
      <c r="E281" s="56" t="e">
        <f>VLOOKUP(D281,姓名檔!$A$2:$G$159,4,0)</f>
        <v>#N/A</v>
      </c>
      <c r="F281" s="56" t="s">
        <v>15</v>
      </c>
      <c r="G281" s="56" t="str">
        <f>VLOOKUP(F281,姓名檔!$H$3:$I$18,2)</f>
        <v>主日奉獻</v>
      </c>
      <c r="H281" s="56" t="e">
        <f>VLOOKUP(D281,姓名檔!$A$2:G$159,5,0)</f>
        <v>#N/A</v>
      </c>
      <c r="I281" s="56"/>
      <c r="J281" s="141"/>
      <c r="K281" s="96"/>
      <c r="L281" s="57"/>
      <c r="M281" s="72"/>
      <c r="N281" s="72"/>
    </row>
    <row r="282" spans="1:14" x14ac:dyDescent="0.3">
      <c r="A282" s="55">
        <v>46328</v>
      </c>
      <c r="B282" s="56">
        <f t="shared" si="32"/>
        <v>11</v>
      </c>
      <c r="C282" s="56">
        <f t="shared" si="31"/>
        <v>45</v>
      </c>
      <c r="D282" s="56"/>
      <c r="E282" s="56" t="e">
        <f>VLOOKUP(D282,姓名檔!$A$2:$G$159,4,0)</f>
        <v>#N/A</v>
      </c>
      <c r="F282" s="56" t="s">
        <v>15</v>
      </c>
      <c r="G282" s="56" t="str">
        <f>VLOOKUP(F282,姓名檔!$H$3:$I$18,2)</f>
        <v>主日奉獻</v>
      </c>
      <c r="H282" s="56" t="e">
        <f>VLOOKUP(D282,姓名檔!$A$2:G$159,5,0)</f>
        <v>#N/A</v>
      </c>
      <c r="I282" s="56"/>
      <c r="J282" s="141"/>
      <c r="K282" s="72"/>
      <c r="L282" s="57"/>
      <c r="M282" s="72"/>
      <c r="N282" s="72"/>
    </row>
    <row r="283" spans="1:14" x14ac:dyDescent="0.3">
      <c r="A283" s="55">
        <v>46328</v>
      </c>
      <c r="B283" s="56">
        <f t="shared" si="32"/>
        <v>11</v>
      </c>
      <c r="C283" s="56">
        <f t="shared" si="31"/>
        <v>45</v>
      </c>
      <c r="D283" s="56"/>
      <c r="E283" s="56" t="e">
        <f>VLOOKUP(D283,姓名檔!$A$2:$G$159,4,0)</f>
        <v>#N/A</v>
      </c>
      <c r="F283" s="56" t="s">
        <v>15</v>
      </c>
      <c r="G283" s="56" t="str">
        <f>VLOOKUP(F283,姓名檔!$H$3:$I$18,2)</f>
        <v>主日奉獻</v>
      </c>
      <c r="H283" s="56" t="e">
        <f>VLOOKUP(D283,姓名檔!$A$2:G$159,5,0)</f>
        <v>#N/A</v>
      </c>
      <c r="I283" s="173"/>
      <c r="J283" s="141"/>
      <c r="K283" s="96"/>
      <c r="L283" s="57"/>
      <c r="M283" s="72"/>
      <c r="N283" s="72"/>
    </row>
    <row r="284" spans="1:14" x14ac:dyDescent="0.3">
      <c r="A284" s="55">
        <v>46335</v>
      </c>
      <c r="B284" s="56">
        <f t="shared" si="32"/>
        <v>11</v>
      </c>
      <c r="C284" s="56">
        <f t="shared" si="31"/>
        <v>46</v>
      </c>
      <c r="D284" s="56"/>
      <c r="E284" s="56" t="e">
        <f>VLOOKUP(D284,姓名檔!$A$2:$G$159,4,0)</f>
        <v>#N/A</v>
      </c>
      <c r="F284" s="56" t="s">
        <v>15</v>
      </c>
      <c r="G284" s="56" t="str">
        <f>VLOOKUP(F284,姓名檔!$H$3:$I$18,2)</f>
        <v>主日奉獻</v>
      </c>
      <c r="H284" s="56" t="e">
        <f>VLOOKUP(D284,姓名檔!$A$2:G$159,5,0)</f>
        <v>#N/A</v>
      </c>
      <c r="I284" s="56"/>
      <c r="J284" s="141"/>
      <c r="K284" s="56"/>
      <c r="L284" s="57"/>
      <c r="M284" s="72"/>
      <c r="N284" s="72"/>
    </row>
    <row r="285" spans="1:14" x14ac:dyDescent="0.3">
      <c r="A285" s="55">
        <v>46335</v>
      </c>
      <c r="B285" s="56">
        <f t="shared" si="32"/>
        <v>11</v>
      </c>
      <c r="C285" s="56">
        <f t="shared" si="31"/>
        <v>46</v>
      </c>
      <c r="D285" s="56"/>
      <c r="E285" s="56" t="e">
        <f>VLOOKUP(D285,姓名檔!$A$2:$G$159,4,0)</f>
        <v>#N/A</v>
      </c>
      <c r="F285" s="56" t="s">
        <v>15</v>
      </c>
      <c r="G285" s="56" t="str">
        <f>VLOOKUP(F285,姓名檔!$H$3:$I$18,2)</f>
        <v>主日奉獻</v>
      </c>
      <c r="H285" s="56" t="e">
        <f>VLOOKUP(D285,姓名檔!$A$2:G$159,5,0)</f>
        <v>#N/A</v>
      </c>
      <c r="I285" s="56"/>
      <c r="J285" s="141"/>
      <c r="K285" s="56"/>
      <c r="L285" s="57"/>
      <c r="M285" s="72"/>
      <c r="N285" s="72"/>
    </row>
    <row r="286" spans="1:14" x14ac:dyDescent="0.3">
      <c r="A286" s="55">
        <v>46335</v>
      </c>
      <c r="B286" s="56">
        <f t="shared" si="32"/>
        <v>11</v>
      </c>
      <c r="C286" s="56">
        <f t="shared" si="31"/>
        <v>46</v>
      </c>
      <c r="D286" s="56"/>
      <c r="E286" s="56" t="e">
        <f>VLOOKUP(D286,姓名檔!$A$2:$G$159,4,0)</f>
        <v>#N/A</v>
      </c>
      <c r="F286" s="56" t="s">
        <v>15</v>
      </c>
      <c r="G286" s="56" t="str">
        <f>VLOOKUP(F286,姓名檔!$H$3:$I$18,2)</f>
        <v>主日奉獻</v>
      </c>
      <c r="H286" s="56" t="e">
        <f>VLOOKUP(D286,姓名檔!$A$2:G$159,5,0)</f>
        <v>#N/A</v>
      </c>
      <c r="I286" s="56"/>
      <c r="J286" s="141"/>
      <c r="K286" s="96"/>
      <c r="L286" s="57"/>
      <c r="M286" s="72"/>
      <c r="N286" s="72"/>
    </row>
    <row r="287" spans="1:14" x14ac:dyDescent="0.3">
      <c r="A287" s="55">
        <v>46335</v>
      </c>
      <c r="B287" s="56">
        <f t="shared" si="32"/>
        <v>11</v>
      </c>
      <c r="C287" s="56">
        <f t="shared" si="31"/>
        <v>46</v>
      </c>
      <c r="D287" s="56"/>
      <c r="E287" s="56" t="e">
        <f>VLOOKUP(D287,姓名檔!$A$2:$G$159,4,0)</f>
        <v>#N/A</v>
      </c>
      <c r="F287" s="56" t="s">
        <v>15</v>
      </c>
      <c r="G287" s="56" t="str">
        <f>VLOOKUP(F287,姓名檔!$H$3:$I$18,2)</f>
        <v>主日奉獻</v>
      </c>
      <c r="H287" s="56" t="e">
        <f>VLOOKUP(D287,姓名檔!$A$2:G$159,5,0)</f>
        <v>#N/A</v>
      </c>
      <c r="I287" s="56"/>
      <c r="J287" s="141"/>
      <c r="K287" s="56"/>
      <c r="L287" s="57"/>
      <c r="M287" s="72"/>
      <c r="N287" s="72"/>
    </row>
    <row r="288" spans="1:14" x14ac:dyDescent="0.3">
      <c r="A288" s="55">
        <v>46335</v>
      </c>
      <c r="B288" s="56">
        <f t="shared" si="32"/>
        <v>11</v>
      </c>
      <c r="C288" s="56">
        <f t="shared" si="31"/>
        <v>46</v>
      </c>
      <c r="D288" s="56"/>
      <c r="E288" s="56" t="e">
        <f>VLOOKUP(D288,姓名檔!$A$2:$G$159,4,0)</f>
        <v>#N/A</v>
      </c>
      <c r="F288" s="56" t="s">
        <v>15</v>
      </c>
      <c r="G288" s="56" t="str">
        <f>VLOOKUP(F288,姓名檔!$H$3:$I$18,2)</f>
        <v>主日奉獻</v>
      </c>
      <c r="H288" s="56" t="e">
        <f>VLOOKUP(D288,姓名檔!$A$2:G$159,5,0)</f>
        <v>#N/A</v>
      </c>
      <c r="I288" s="56"/>
      <c r="J288" s="141"/>
      <c r="K288" s="56"/>
      <c r="L288" s="57"/>
      <c r="M288" s="72"/>
      <c r="N288" s="72"/>
    </row>
    <row r="289" spans="1:14" x14ac:dyDescent="0.3">
      <c r="A289" s="55">
        <v>46335</v>
      </c>
      <c r="B289" s="56">
        <f t="shared" si="32"/>
        <v>11</v>
      </c>
      <c r="C289" s="56">
        <f t="shared" si="31"/>
        <v>46</v>
      </c>
      <c r="D289" s="56"/>
      <c r="E289" s="56" t="e">
        <f>VLOOKUP(D289,姓名檔!$A$2:$G$159,4,0)</f>
        <v>#N/A</v>
      </c>
      <c r="F289" s="56" t="s">
        <v>15</v>
      </c>
      <c r="G289" s="56" t="str">
        <f>VLOOKUP(F289,姓名檔!$H$3:$I$18,2)</f>
        <v>主日奉獻</v>
      </c>
      <c r="H289" s="56" t="e">
        <f>VLOOKUP(D289,姓名檔!$A$2:G$159,5,0)</f>
        <v>#N/A</v>
      </c>
      <c r="I289" s="56"/>
      <c r="J289" s="141"/>
      <c r="K289" s="56"/>
      <c r="L289" s="57"/>
      <c r="M289" s="72"/>
      <c r="N289" s="72"/>
    </row>
    <row r="290" spans="1:14" x14ac:dyDescent="0.3">
      <c r="A290" s="55">
        <v>46335</v>
      </c>
      <c r="B290" s="56">
        <f t="shared" si="32"/>
        <v>11</v>
      </c>
      <c r="C290" s="56">
        <f t="shared" si="31"/>
        <v>46</v>
      </c>
      <c r="D290" s="56"/>
      <c r="E290" s="56" t="e">
        <f>VLOOKUP(D290,姓名檔!$A$2:$G$159,4,0)</f>
        <v>#N/A</v>
      </c>
      <c r="F290" s="56" t="s">
        <v>15</v>
      </c>
      <c r="G290" s="56" t="str">
        <f>VLOOKUP(F290,姓名檔!$H$3:$I$18,2)</f>
        <v>主日奉獻</v>
      </c>
      <c r="H290" s="56" t="e">
        <f>VLOOKUP(D290,姓名檔!$A$2:G$159,5,0)</f>
        <v>#N/A</v>
      </c>
      <c r="I290" s="56"/>
      <c r="J290" s="141"/>
      <c r="K290" s="96"/>
      <c r="L290" s="57"/>
      <c r="M290" s="72"/>
      <c r="N290" s="72"/>
    </row>
    <row r="291" spans="1:14" x14ac:dyDescent="0.3">
      <c r="A291" s="55">
        <v>46342</v>
      </c>
      <c r="B291" s="56">
        <f t="shared" si="32"/>
        <v>11</v>
      </c>
      <c r="C291" s="56">
        <f t="shared" si="31"/>
        <v>47</v>
      </c>
      <c r="D291" s="56"/>
      <c r="E291" s="56" t="e">
        <f>VLOOKUP(D291,姓名檔!$A$2:$G$159,4,0)</f>
        <v>#N/A</v>
      </c>
      <c r="F291" s="56" t="s">
        <v>15</v>
      </c>
      <c r="G291" s="56" t="str">
        <f>VLOOKUP(F291,姓名檔!$H$3:$I$18,2)</f>
        <v>主日奉獻</v>
      </c>
      <c r="H291" s="56" t="e">
        <f>VLOOKUP(D291,姓名檔!$A$2:G$159,5,0)</f>
        <v>#N/A</v>
      </c>
      <c r="I291" s="56"/>
      <c r="J291" s="141"/>
      <c r="K291" s="56"/>
      <c r="L291" s="57"/>
      <c r="M291" s="72"/>
      <c r="N291" s="72"/>
    </row>
    <row r="292" spans="1:14" x14ac:dyDescent="0.3">
      <c r="A292" s="55">
        <v>46342</v>
      </c>
      <c r="B292" s="56">
        <f t="shared" si="32"/>
        <v>11</v>
      </c>
      <c r="C292" s="56">
        <f t="shared" si="31"/>
        <v>47</v>
      </c>
      <c r="D292" s="56"/>
      <c r="E292" s="56" t="e">
        <f>VLOOKUP(D292,姓名檔!$A$2:$G$159,4,0)</f>
        <v>#N/A</v>
      </c>
      <c r="F292" s="56" t="s">
        <v>15</v>
      </c>
      <c r="G292" s="56" t="str">
        <f>VLOOKUP(F292,姓名檔!$H$3:$I$18,2)</f>
        <v>主日奉獻</v>
      </c>
      <c r="H292" s="56" t="e">
        <f>VLOOKUP(D292,姓名檔!$A$2:G$159,5,0)</f>
        <v>#N/A</v>
      </c>
      <c r="I292" s="56"/>
      <c r="J292" s="141"/>
      <c r="K292" s="56"/>
      <c r="L292" s="57"/>
      <c r="M292" s="72"/>
      <c r="N292" s="72"/>
    </row>
    <row r="293" spans="1:14" x14ac:dyDescent="0.3">
      <c r="A293" s="55">
        <v>46342</v>
      </c>
      <c r="B293" s="56">
        <f t="shared" si="32"/>
        <v>11</v>
      </c>
      <c r="C293" s="56">
        <f t="shared" si="31"/>
        <v>47</v>
      </c>
      <c r="D293" s="56"/>
      <c r="E293" s="56" t="e">
        <f>VLOOKUP(D293,姓名檔!$A$2:$G$159,4,0)</f>
        <v>#N/A</v>
      </c>
      <c r="F293" s="56" t="s">
        <v>15</v>
      </c>
      <c r="G293" s="56" t="str">
        <f>VLOOKUP(F293,姓名檔!$H$3:$I$18,2)</f>
        <v>主日奉獻</v>
      </c>
      <c r="H293" s="56" t="e">
        <f>VLOOKUP(D293,姓名檔!$A$2:G$159,5,0)</f>
        <v>#N/A</v>
      </c>
      <c r="I293" s="56"/>
      <c r="J293" s="141"/>
      <c r="K293" s="96"/>
      <c r="L293" s="57"/>
      <c r="M293" s="72"/>
      <c r="N293" s="72"/>
    </row>
    <row r="294" spans="1:14" x14ac:dyDescent="0.3">
      <c r="A294" s="55">
        <v>46342</v>
      </c>
      <c r="B294" s="56">
        <f t="shared" si="32"/>
        <v>11</v>
      </c>
      <c r="C294" s="56">
        <f t="shared" si="31"/>
        <v>47</v>
      </c>
      <c r="D294" s="56"/>
      <c r="E294" s="56" t="e">
        <f>VLOOKUP(D294,姓名檔!$A$2:$G$159,4,0)</f>
        <v>#N/A</v>
      </c>
      <c r="F294" s="56" t="s">
        <v>15</v>
      </c>
      <c r="G294" s="56" t="str">
        <f>VLOOKUP(F294,姓名檔!$H$3:$I$18,2)</f>
        <v>主日奉獻</v>
      </c>
      <c r="H294" s="56" t="e">
        <f>VLOOKUP(D294,姓名檔!$A$2:G$159,5,0)</f>
        <v>#N/A</v>
      </c>
      <c r="I294" s="56"/>
      <c r="J294" s="141"/>
      <c r="K294" s="56"/>
      <c r="L294" s="57"/>
      <c r="M294" s="72"/>
      <c r="N294" s="72"/>
    </row>
    <row r="295" spans="1:14" x14ac:dyDescent="0.3">
      <c r="A295" s="55">
        <v>46342</v>
      </c>
      <c r="B295" s="56">
        <f t="shared" si="32"/>
        <v>11</v>
      </c>
      <c r="C295" s="56">
        <f t="shared" si="31"/>
        <v>47</v>
      </c>
      <c r="D295" s="56"/>
      <c r="E295" s="56" t="e">
        <f>VLOOKUP(D295,姓名檔!$A$2:$G$159,4,0)</f>
        <v>#N/A</v>
      </c>
      <c r="F295" s="56" t="s">
        <v>197</v>
      </c>
      <c r="G295" s="56" t="str">
        <f>VLOOKUP(F295,姓名檔!$H$3:$I$18,2)</f>
        <v>主日奉獻</v>
      </c>
      <c r="H295" s="56" t="e">
        <f>VLOOKUP(D295,姓名檔!$A$2:G$159,5,0)</f>
        <v>#N/A</v>
      </c>
      <c r="I295" s="56"/>
      <c r="J295" s="141"/>
      <c r="K295" s="96"/>
      <c r="L295" s="57"/>
      <c r="M295" s="72"/>
      <c r="N295" s="72"/>
    </row>
    <row r="296" spans="1:14" x14ac:dyDescent="0.3">
      <c r="A296" s="55">
        <v>46342</v>
      </c>
      <c r="B296" s="56">
        <f t="shared" si="32"/>
        <v>11</v>
      </c>
      <c r="C296" s="56">
        <f t="shared" si="31"/>
        <v>47</v>
      </c>
      <c r="D296" s="56"/>
      <c r="E296" s="56" t="e">
        <f>VLOOKUP(D296,姓名檔!$A$2:$G$159,4,0)</f>
        <v>#N/A</v>
      </c>
      <c r="F296" s="56" t="s">
        <v>15</v>
      </c>
      <c r="G296" s="56" t="str">
        <f>VLOOKUP(F296,姓名檔!$H$3:$I$18,2)</f>
        <v>主日奉獻</v>
      </c>
      <c r="H296" s="56" t="e">
        <f>VLOOKUP(D296,姓名檔!$A$2:G$159,5,0)</f>
        <v>#N/A</v>
      </c>
      <c r="I296" s="56"/>
      <c r="J296" s="141"/>
      <c r="K296" s="56"/>
      <c r="L296" s="57"/>
      <c r="M296" s="72"/>
      <c r="N296" s="72"/>
    </row>
    <row r="297" spans="1:14" x14ac:dyDescent="0.3">
      <c r="A297" s="55">
        <v>46342</v>
      </c>
      <c r="B297" s="56">
        <f t="shared" si="32"/>
        <v>11</v>
      </c>
      <c r="C297" s="56">
        <f t="shared" si="31"/>
        <v>47</v>
      </c>
      <c r="D297" s="56"/>
      <c r="E297" s="56" t="e">
        <f>VLOOKUP(D297,姓名檔!$A$2:$G$159,4,0)</f>
        <v>#N/A</v>
      </c>
      <c r="F297" s="56" t="s">
        <v>15</v>
      </c>
      <c r="G297" s="56" t="str">
        <f>VLOOKUP(F297,姓名檔!$H$3:$I$18,2)</f>
        <v>主日奉獻</v>
      </c>
      <c r="H297" s="56" t="e">
        <f>VLOOKUP(D297,姓名檔!$A$2:G$159,5,0)</f>
        <v>#N/A</v>
      </c>
      <c r="I297" s="56"/>
      <c r="J297" s="141"/>
      <c r="K297" s="96"/>
      <c r="L297" s="57"/>
      <c r="M297" s="72"/>
      <c r="N297" s="72"/>
    </row>
    <row r="298" spans="1:14" x14ac:dyDescent="0.3">
      <c r="A298" s="55">
        <v>46349</v>
      </c>
      <c r="B298" s="56">
        <f t="shared" si="32"/>
        <v>11</v>
      </c>
      <c r="C298" s="56">
        <f t="shared" si="31"/>
        <v>48</v>
      </c>
      <c r="D298" s="56"/>
      <c r="E298" s="56" t="e">
        <f>VLOOKUP(D298,姓名檔!$A$2:$G$159,4,0)</f>
        <v>#N/A</v>
      </c>
      <c r="F298" s="56" t="s">
        <v>15</v>
      </c>
      <c r="G298" s="56" t="str">
        <f>VLOOKUP(F298,姓名檔!$H$3:$I$18,2)</f>
        <v>主日奉獻</v>
      </c>
      <c r="H298" s="56" t="e">
        <f>VLOOKUP(D298,姓名檔!$A$2:G$159,5,0)</f>
        <v>#N/A</v>
      </c>
      <c r="I298" s="56"/>
      <c r="J298" s="141"/>
      <c r="K298" s="56"/>
      <c r="L298" s="57"/>
      <c r="M298" s="72"/>
      <c r="N298" s="72"/>
    </row>
    <row r="299" spans="1:14" x14ac:dyDescent="0.3">
      <c r="A299" s="55">
        <v>46349</v>
      </c>
      <c r="B299" s="56">
        <f t="shared" si="32"/>
        <v>11</v>
      </c>
      <c r="C299" s="56">
        <f t="shared" si="31"/>
        <v>48</v>
      </c>
      <c r="D299" s="56"/>
      <c r="E299" s="56" t="e">
        <f>VLOOKUP(D299,姓名檔!$A$2:$G$159,4,0)</f>
        <v>#N/A</v>
      </c>
      <c r="F299" s="56" t="s">
        <v>15</v>
      </c>
      <c r="G299" s="56" t="str">
        <f>VLOOKUP(F299,姓名檔!$H$3:$I$18,2)</f>
        <v>主日奉獻</v>
      </c>
      <c r="H299" s="56" t="e">
        <f>VLOOKUP(D299,姓名檔!$A$2:G$159,5,0)</f>
        <v>#N/A</v>
      </c>
      <c r="I299" s="56"/>
      <c r="J299" s="141"/>
      <c r="K299" s="56"/>
      <c r="L299" s="57"/>
      <c r="M299" s="72"/>
      <c r="N299" s="72"/>
    </row>
    <row r="300" spans="1:14" x14ac:dyDescent="0.3">
      <c r="A300" s="55">
        <v>46349</v>
      </c>
      <c r="B300" s="56">
        <f t="shared" si="32"/>
        <v>11</v>
      </c>
      <c r="C300" s="56">
        <f t="shared" si="31"/>
        <v>48</v>
      </c>
      <c r="D300" s="56"/>
      <c r="E300" s="56" t="e">
        <f>VLOOKUP(D300,姓名檔!$A$2:$G$159,4,0)</f>
        <v>#N/A</v>
      </c>
      <c r="F300" s="56" t="s">
        <v>15</v>
      </c>
      <c r="G300" s="56" t="str">
        <f>VLOOKUP(F300,姓名檔!$H$3:$I$18,2)</f>
        <v>主日奉獻</v>
      </c>
      <c r="H300" s="56" t="e">
        <f>VLOOKUP(D300,姓名檔!$A$2:G$159,5,0)</f>
        <v>#N/A</v>
      </c>
      <c r="I300" s="56"/>
      <c r="J300" s="141"/>
      <c r="K300" s="56"/>
      <c r="L300" s="57"/>
      <c r="M300" s="72"/>
      <c r="N300" s="72"/>
    </row>
    <row r="301" spans="1:14" x14ac:dyDescent="0.3">
      <c r="A301" s="55">
        <v>46349</v>
      </c>
      <c r="B301" s="56">
        <f t="shared" si="32"/>
        <v>11</v>
      </c>
      <c r="C301" s="56">
        <f t="shared" si="31"/>
        <v>48</v>
      </c>
      <c r="D301" s="56"/>
      <c r="E301" s="56" t="e">
        <f>VLOOKUP(D301,姓名檔!$A$2:$G$159,4,0)</f>
        <v>#N/A</v>
      </c>
      <c r="F301" s="56" t="s">
        <v>15</v>
      </c>
      <c r="G301" s="56" t="str">
        <f>VLOOKUP(F301,姓名檔!$H$3:$I$18,2)</f>
        <v>主日奉獻</v>
      </c>
      <c r="H301" s="56" t="e">
        <f>VLOOKUP(D301,姓名檔!$A$2:G$159,5,0)</f>
        <v>#N/A</v>
      </c>
      <c r="I301" s="56"/>
      <c r="J301" s="141"/>
      <c r="K301" s="96"/>
      <c r="L301" s="57"/>
      <c r="M301" s="72"/>
      <c r="N301" s="72"/>
    </row>
    <row r="302" spans="1:14" x14ac:dyDescent="0.3">
      <c r="A302" s="55">
        <v>46349</v>
      </c>
      <c r="B302" s="56">
        <f t="shared" si="32"/>
        <v>11</v>
      </c>
      <c r="C302" s="56">
        <f t="shared" si="31"/>
        <v>48</v>
      </c>
      <c r="D302" s="56"/>
      <c r="E302" s="56" t="e">
        <f>VLOOKUP(D302,姓名檔!$A$2:$G$159,4,0)</f>
        <v>#N/A</v>
      </c>
      <c r="F302" s="56" t="s">
        <v>15</v>
      </c>
      <c r="G302" s="56" t="str">
        <f>VLOOKUP(F302,姓名檔!$H$3:$I$18,2)</f>
        <v>主日奉獻</v>
      </c>
      <c r="H302" s="56" t="e">
        <f>VLOOKUP(D302,姓名檔!$A$2:G$159,5,0)</f>
        <v>#N/A</v>
      </c>
      <c r="I302" s="56"/>
      <c r="J302" s="141"/>
      <c r="K302" s="175"/>
      <c r="L302" s="57"/>
      <c r="M302" s="72"/>
      <c r="N302" s="72"/>
    </row>
    <row r="303" spans="1:14" x14ac:dyDescent="0.3">
      <c r="A303" s="55">
        <v>46349</v>
      </c>
      <c r="B303" s="56">
        <f t="shared" si="32"/>
        <v>11</v>
      </c>
      <c r="C303" s="56">
        <f t="shared" si="31"/>
        <v>48</v>
      </c>
      <c r="D303" s="56"/>
      <c r="E303" s="56" t="e">
        <f>VLOOKUP(D303,姓名檔!$A$2:$G$159,4,0)</f>
        <v>#N/A</v>
      </c>
      <c r="F303" s="56" t="s">
        <v>15</v>
      </c>
      <c r="G303" s="56" t="str">
        <f>VLOOKUP(F303,姓名檔!$H$3:$I$18,2)</f>
        <v>主日奉獻</v>
      </c>
      <c r="H303" s="56" t="e">
        <f>VLOOKUP(D303,姓名檔!$A$2:G$159,5,0)</f>
        <v>#N/A</v>
      </c>
      <c r="I303" s="56"/>
      <c r="J303" s="141"/>
      <c r="K303" s="96"/>
      <c r="L303" s="57"/>
      <c r="M303" s="72"/>
      <c r="N303" s="72"/>
    </row>
    <row r="304" spans="1:14" x14ac:dyDescent="0.3">
      <c r="A304" s="55">
        <v>46349</v>
      </c>
      <c r="B304" s="56">
        <f t="shared" si="32"/>
        <v>11</v>
      </c>
      <c r="C304" s="56">
        <f t="shared" si="31"/>
        <v>48</v>
      </c>
      <c r="D304" s="56"/>
      <c r="E304" s="56" t="e">
        <f>VLOOKUP(D304,姓名檔!$A$2:$G$159,4,0)</f>
        <v>#N/A</v>
      </c>
      <c r="F304" s="56" t="s">
        <v>15</v>
      </c>
      <c r="G304" s="56" t="str">
        <f>VLOOKUP(F304,姓名檔!$H$3:$I$18,2)</f>
        <v>主日奉獻</v>
      </c>
      <c r="H304" s="56" t="e">
        <f>VLOOKUP(D304,姓名檔!$A$2:G$159,5,0)</f>
        <v>#N/A</v>
      </c>
      <c r="I304" s="56"/>
      <c r="J304" s="141"/>
      <c r="K304" s="56"/>
      <c r="L304" s="57"/>
      <c r="M304" s="72"/>
      <c r="N304" s="72"/>
    </row>
    <row r="305" spans="1:14" x14ac:dyDescent="0.3">
      <c r="A305" s="55">
        <v>46349</v>
      </c>
      <c r="B305" s="56">
        <f t="shared" si="32"/>
        <v>11</v>
      </c>
      <c r="C305" s="56">
        <f t="shared" si="31"/>
        <v>48</v>
      </c>
      <c r="D305" s="56"/>
      <c r="E305" s="56" t="e">
        <f>VLOOKUP(D305,姓名檔!$A$2:$G$159,4,0)</f>
        <v>#N/A</v>
      </c>
      <c r="F305" s="56" t="s">
        <v>15</v>
      </c>
      <c r="G305" s="56" t="str">
        <f>VLOOKUP(F305,姓名檔!$H$3:$I$18,2)</f>
        <v>主日奉獻</v>
      </c>
      <c r="H305" s="56" t="e">
        <f>VLOOKUP(D305,姓名檔!$A$2:G$159,5,0)</f>
        <v>#N/A</v>
      </c>
      <c r="I305" s="56"/>
      <c r="J305" s="141"/>
      <c r="K305" s="96"/>
      <c r="L305" s="57"/>
      <c r="M305" s="72"/>
      <c r="N305" s="72"/>
    </row>
    <row r="306" spans="1:14" x14ac:dyDescent="0.3">
      <c r="A306" s="55">
        <v>46356</v>
      </c>
      <c r="B306" s="56">
        <f t="shared" si="32"/>
        <v>11</v>
      </c>
      <c r="C306" s="56">
        <f t="shared" si="31"/>
        <v>49</v>
      </c>
      <c r="D306" s="56"/>
      <c r="E306" s="56" t="e">
        <f>VLOOKUP(D306,姓名檔!$A$2:$G$159,4,0)</f>
        <v>#N/A</v>
      </c>
      <c r="F306" s="56" t="s">
        <v>15</v>
      </c>
      <c r="G306" s="56" t="str">
        <f>VLOOKUP(F306,姓名檔!$H$3:$I$18,2)</f>
        <v>主日奉獻</v>
      </c>
      <c r="H306" s="56" t="e">
        <f>VLOOKUP(D306,姓名檔!$A$2:G$159,5,0)</f>
        <v>#N/A</v>
      </c>
      <c r="I306" s="56"/>
      <c r="J306" s="141"/>
      <c r="K306" s="171"/>
      <c r="L306" s="57"/>
      <c r="M306" s="72"/>
      <c r="N306" s="72"/>
    </row>
    <row r="307" spans="1:14" x14ac:dyDescent="0.3">
      <c r="A307" s="55">
        <v>46356</v>
      </c>
      <c r="B307" s="56">
        <f t="shared" si="32"/>
        <v>11</v>
      </c>
      <c r="C307" s="56">
        <f t="shared" si="31"/>
        <v>49</v>
      </c>
      <c r="D307" s="56"/>
      <c r="E307" s="56" t="e">
        <f>VLOOKUP(D307,姓名檔!$A$2:$G$159,4,0)</f>
        <v>#N/A</v>
      </c>
      <c r="F307" s="56" t="s">
        <v>15</v>
      </c>
      <c r="G307" s="56" t="str">
        <f>VLOOKUP(F307,姓名檔!$H$3:$I$18,2)</f>
        <v>主日奉獻</v>
      </c>
      <c r="H307" s="56" t="e">
        <f>VLOOKUP(D307,姓名檔!$A$2:G$159,5,0)</f>
        <v>#N/A</v>
      </c>
      <c r="I307" s="56"/>
      <c r="J307" s="141"/>
      <c r="K307" s="56"/>
      <c r="L307" s="57"/>
      <c r="M307" s="72"/>
      <c r="N307" s="72"/>
    </row>
    <row r="308" spans="1:14" x14ac:dyDescent="0.3">
      <c r="A308" s="55">
        <v>46356</v>
      </c>
      <c r="B308" s="56">
        <f t="shared" si="32"/>
        <v>11</v>
      </c>
      <c r="C308" s="56">
        <f t="shared" ref="C308:C371" si="33">WEEKNUM(A308)</f>
        <v>49</v>
      </c>
      <c r="D308" s="56"/>
      <c r="E308" s="56" t="e">
        <f>VLOOKUP(D308,姓名檔!$A$2:$G$159,4,0)</f>
        <v>#N/A</v>
      </c>
      <c r="F308" s="56" t="s">
        <v>15</v>
      </c>
      <c r="G308" s="56" t="str">
        <f>VLOOKUP(F308,姓名檔!$H$3:$I$18,2)</f>
        <v>主日奉獻</v>
      </c>
      <c r="H308" s="56" t="e">
        <f>VLOOKUP(D308,姓名檔!$A$2:G$159,5,0)</f>
        <v>#N/A</v>
      </c>
      <c r="I308" s="56"/>
      <c r="J308" s="141"/>
      <c r="K308" s="56"/>
      <c r="L308" s="57"/>
      <c r="M308" s="72"/>
      <c r="N308" s="72"/>
    </row>
    <row r="309" spans="1:14" x14ac:dyDescent="0.3">
      <c r="A309" s="55">
        <v>46356</v>
      </c>
      <c r="B309" s="56">
        <f t="shared" ref="B309:B372" si="34">MONTH(A309)</f>
        <v>11</v>
      </c>
      <c r="C309" s="56">
        <f t="shared" si="33"/>
        <v>49</v>
      </c>
      <c r="D309" s="56"/>
      <c r="E309" s="56" t="e">
        <f>VLOOKUP(D309,姓名檔!$A$2:$G$159,4,0)</f>
        <v>#N/A</v>
      </c>
      <c r="F309" s="56" t="s">
        <v>15</v>
      </c>
      <c r="G309" s="56" t="str">
        <f>VLOOKUP(F309,姓名檔!$H$3:$I$18,2)</f>
        <v>主日奉獻</v>
      </c>
      <c r="H309" s="56" t="e">
        <f>VLOOKUP(D309,姓名檔!$A$2:G$159,5,0)</f>
        <v>#N/A</v>
      </c>
      <c r="I309" s="56"/>
      <c r="J309" s="141"/>
      <c r="K309" s="56"/>
      <c r="L309" s="57"/>
      <c r="M309" s="72"/>
      <c r="N309" s="72"/>
    </row>
    <row r="310" spans="1:14" x14ac:dyDescent="0.3">
      <c r="A310" s="55">
        <v>46356</v>
      </c>
      <c r="B310" s="56">
        <f t="shared" si="34"/>
        <v>11</v>
      </c>
      <c r="C310" s="56">
        <f t="shared" si="33"/>
        <v>49</v>
      </c>
      <c r="D310" s="56"/>
      <c r="E310" s="56" t="e">
        <f>VLOOKUP(D310,姓名檔!$A$2:$G$159,4,0)</f>
        <v>#N/A</v>
      </c>
      <c r="F310" s="56" t="s">
        <v>15</v>
      </c>
      <c r="G310" s="56" t="str">
        <f>VLOOKUP(F310,姓名檔!$H$3:$I$18,2)</f>
        <v>主日奉獻</v>
      </c>
      <c r="H310" s="56" t="e">
        <f>VLOOKUP(D310,姓名檔!$A$2:G$159,5,0)</f>
        <v>#N/A</v>
      </c>
      <c r="I310" s="56"/>
      <c r="J310" s="141"/>
      <c r="K310" s="56"/>
      <c r="L310" s="57"/>
      <c r="M310" s="72"/>
      <c r="N310" s="72"/>
    </row>
    <row r="311" spans="1:14" x14ac:dyDescent="0.3">
      <c r="A311" s="55">
        <v>46356</v>
      </c>
      <c r="B311" s="56">
        <f t="shared" si="34"/>
        <v>11</v>
      </c>
      <c r="C311" s="56">
        <f t="shared" si="33"/>
        <v>49</v>
      </c>
      <c r="D311" s="56"/>
      <c r="E311" s="56" t="e">
        <f>VLOOKUP(D311,姓名檔!$A$2:$G$159,4,0)</f>
        <v>#N/A</v>
      </c>
      <c r="F311" s="56" t="s">
        <v>15</v>
      </c>
      <c r="G311" s="56" t="str">
        <f>VLOOKUP(F311,姓名檔!$H$3:$I$18,2)</f>
        <v>主日奉獻</v>
      </c>
      <c r="H311" s="56" t="e">
        <f>VLOOKUP(D311,姓名檔!$A$2:G$159,5,0)</f>
        <v>#N/A</v>
      </c>
      <c r="I311" s="56"/>
      <c r="J311" s="141"/>
      <c r="K311" s="56"/>
      <c r="L311" s="57"/>
      <c r="M311" s="72"/>
      <c r="N311" s="72"/>
    </row>
    <row r="312" spans="1:14" x14ac:dyDescent="0.3">
      <c r="A312" s="55">
        <v>46356</v>
      </c>
      <c r="B312" s="56">
        <f t="shared" si="34"/>
        <v>11</v>
      </c>
      <c r="C312" s="56">
        <f t="shared" si="33"/>
        <v>49</v>
      </c>
      <c r="D312" s="56"/>
      <c r="E312" s="56" t="e">
        <f>VLOOKUP(D312,姓名檔!$A$2:$G$159,4,0)</f>
        <v>#N/A</v>
      </c>
      <c r="F312" s="56" t="s">
        <v>15</v>
      </c>
      <c r="G312" s="56" t="str">
        <f>VLOOKUP(F312,姓名檔!$H$3:$I$18,2)</f>
        <v>主日奉獻</v>
      </c>
      <c r="H312" s="56" t="e">
        <f>VLOOKUP(D312,姓名檔!$A$2:G$159,5,0)</f>
        <v>#N/A</v>
      </c>
      <c r="I312" s="56"/>
      <c r="J312" s="141"/>
      <c r="K312" s="96"/>
      <c r="L312" s="57"/>
      <c r="M312" s="72"/>
      <c r="N312" s="72"/>
    </row>
    <row r="313" spans="1:14" x14ac:dyDescent="0.3">
      <c r="A313" s="55">
        <v>46356</v>
      </c>
      <c r="B313" s="56">
        <f t="shared" si="34"/>
        <v>11</v>
      </c>
      <c r="C313" s="56">
        <f t="shared" si="33"/>
        <v>49</v>
      </c>
      <c r="D313" s="56"/>
      <c r="E313" s="56" t="e">
        <f>VLOOKUP(D313,姓名檔!$A$2:$G$159,4,0)</f>
        <v>#N/A</v>
      </c>
      <c r="F313" s="56" t="s">
        <v>15</v>
      </c>
      <c r="G313" s="56" t="str">
        <f>VLOOKUP(F313,姓名檔!$H$3:$I$18,2)</f>
        <v>主日奉獻</v>
      </c>
      <c r="H313" s="56" t="e">
        <f>VLOOKUP(D313,姓名檔!$A$2:G$159,5,0)</f>
        <v>#N/A</v>
      </c>
      <c r="I313" s="56"/>
      <c r="J313" s="141"/>
      <c r="K313" s="56"/>
      <c r="L313" s="57"/>
      <c r="M313" s="72"/>
      <c r="N313" s="72"/>
    </row>
    <row r="314" spans="1:14" x14ac:dyDescent="0.3">
      <c r="A314" s="55">
        <v>46356</v>
      </c>
      <c r="B314" s="56">
        <f t="shared" si="34"/>
        <v>11</v>
      </c>
      <c r="C314" s="56">
        <f t="shared" si="33"/>
        <v>49</v>
      </c>
      <c r="D314" s="56"/>
      <c r="E314" s="56" t="e">
        <f>VLOOKUP(D314,姓名檔!$A$2:$G$159,4,0)</f>
        <v>#N/A</v>
      </c>
      <c r="F314" s="56" t="s">
        <v>15</v>
      </c>
      <c r="G314" s="56" t="str">
        <f>VLOOKUP(F314,姓名檔!$H$3:$I$18,2)</f>
        <v>主日奉獻</v>
      </c>
      <c r="H314" s="56" t="e">
        <f>VLOOKUP(D314,姓名檔!$A$2:G$159,5,0)</f>
        <v>#N/A</v>
      </c>
      <c r="I314" s="56"/>
      <c r="J314" s="141"/>
      <c r="K314" s="96"/>
      <c r="L314" s="57"/>
      <c r="M314" s="73"/>
      <c r="N314" s="72"/>
    </row>
    <row r="315" spans="1:14" x14ac:dyDescent="0.3">
      <c r="A315" s="55">
        <v>46363</v>
      </c>
      <c r="B315" s="56">
        <f t="shared" si="34"/>
        <v>12</v>
      </c>
      <c r="C315" s="56">
        <f t="shared" si="33"/>
        <v>50</v>
      </c>
      <c r="D315" s="56"/>
      <c r="E315" s="56" t="e">
        <f>VLOOKUP(D315,姓名檔!$A$2:$G$159,4,0)</f>
        <v>#N/A</v>
      </c>
      <c r="F315" s="56" t="s">
        <v>15</v>
      </c>
      <c r="G315" s="56" t="str">
        <f>VLOOKUP(F315,姓名檔!$H$3:$I$18,2)</f>
        <v>主日奉獻</v>
      </c>
      <c r="H315" s="56" t="e">
        <f>VLOOKUP(D315,姓名檔!$A$2:G$159,5,0)</f>
        <v>#N/A</v>
      </c>
      <c r="I315" s="56"/>
      <c r="J315" s="141"/>
      <c r="K315" s="56"/>
      <c r="L315" s="57"/>
      <c r="M315" s="72"/>
      <c r="N315" s="72"/>
    </row>
    <row r="316" spans="1:14" x14ac:dyDescent="0.3">
      <c r="A316" s="55">
        <v>46363</v>
      </c>
      <c r="B316" s="56">
        <f t="shared" si="34"/>
        <v>12</v>
      </c>
      <c r="C316" s="56">
        <f t="shared" si="33"/>
        <v>50</v>
      </c>
      <c r="D316" s="56"/>
      <c r="E316" s="56" t="e">
        <f>VLOOKUP(D316,姓名檔!$A$2:$G$159,4,0)</f>
        <v>#N/A</v>
      </c>
      <c r="F316" s="56" t="s">
        <v>15</v>
      </c>
      <c r="G316" s="56" t="str">
        <f>VLOOKUP(F316,姓名檔!$H$3:$I$18,2)</f>
        <v>主日奉獻</v>
      </c>
      <c r="H316" s="56" t="e">
        <f>VLOOKUP(D316,姓名檔!$A$2:G$159,5,0)</f>
        <v>#N/A</v>
      </c>
      <c r="I316" s="56"/>
      <c r="J316" s="141"/>
      <c r="K316" s="56"/>
      <c r="L316" s="57"/>
      <c r="M316" s="72"/>
      <c r="N316" s="72"/>
    </row>
    <row r="317" spans="1:14" x14ac:dyDescent="0.3">
      <c r="A317" s="55">
        <v>46363</v>
      </c>
      <c r="B317" s="56">
        <f t="shared" si="34"/>
        <v>12</v>
      </c>
      <c r="C317" s="56">
        <f t="shared" si="33"/>
        <v>50</v>
      </c>
      <c r="D317" s="56"/>
      <c r="E317" s="56" t="e">
        <f>VLOOKUP(D317,姓名檔!$A$2:$G$159,4,0)</f>
        <v>#N/A</v>
      </c>
      <c r="F317" s="56" t="s">
        <v>15</v>
      </c>
      <c r="G317" s="56" t="str">
        <f>VLOOKUP(F317,姓名檔!$H$3:$I$18,2)</f>
        <v>主日奉獻</v>
      </c>
      <c r="H317" s="56" t="e">
        <f>VLOOKUP(D317,姓名檔!$A$2:G$159,5,0)</f>
        <v>#N/A</v>
      </c>
      <c r="I317" s="56"/>
      <c r="J317" s="141"/>
      <c r="K317" s="56"/>
      <c r="L317" s="57"/>
      <c r="M317" s="72"/>
      <c r="N317" s="72"/>
    </row>
    <row r="318" spans="1:14" x14ac:dyDescent="0.3">
      <c r="A318" s="55">
        <v>46363</v>
      </c>
      <c r="B318" s="56">
        <f t="shared" si="34"/>
        <v>12</v>
      </c>
      <c r="C318" s="56">
        <f t="shared" si="33"/>
        <v>50</v>
      </c>
      <c r="D318" s="56"/>
      <c r="E318" s="56" t="e">
        <f>VLOOKUP(D318,姓名檔!$A$2:$G$159,4,0)</f>
        <v>#N/A</v>
      </c>
      <c r="F318" s="56" t="s">
        <v>15</v>
      </c>
      <c r="G318" s="56" t="str">
        <f>VLOOKUP(F318,姓名檔!$H$3:$I$18,2)</f>
        <v>主日奉獻</v>
      </c>
      <c r="H318" s="56" t="e">
        <f>VLOOKUP(D318,姓名檔!$A$2:G$159,5,0)</f>
        <v>#N/A</v>
      </c>
      <c r="I318" s="56"/>
      <c r="J318" s="141"/>
      <c r="K318" s="56"/>
      <c r="L318" s="57"/>
      <c r="M318" s="72"/>
      <c r="N318" s="72"/>
    </row>
    <row r="319" spans="1:14" x14ac:dyDescent="0.3">
      <c r="A319" s="55">
        <v>46363</v>
      </c>
      <c r="B319" s="56">
        <f t="shared" si="34"/>
        <v>12</v>
      </c>
      <c r="C319" s="56">
        <f t="shared" si="33"/>
        <v>50</v>
      </c>
      <c r="D319" s="56"/>
      <c r="E319" s="56" t="e">
        <f>VLOOKUP(D319,姓名檔!$A$2:$G$159,4,0)</f>
        <v>#N/A</v>
      </c>
      <c r="F319" s="56" t="s">
        <v>15</v>
      </c>
      <c r="G319" s="56" t="str">
        <f>VLOOKUP(F319,姓名檔!$H$3:$I$18,2)</f>
        <v>主日奉獻</v>
      </c>
      <c r="H319" s="56" t="e">
        <f>VLOOKUP(D319,姓名檔!$A$2:G$159,5,0)</f>
        <v>#N/A</v>
      </c>
      <c r="I319" s="56"/>
      <c r="J319" s="141"/>
      <c r="K319" s="56"/>
      <c r="L319" s="57"/>
      <c r="M319" s="72"/>
      <c r="N319" s="72"/>
    </row>
    <row r="320" spans="1:14" x14ac:dyDescent="0.3">
      <c r="A320" s="55">
        <v>46363</v>
      </c>
      <c r="B320" s="56">
        <f t="shared" si="34"/>
        <v>12</v>
      </c>
      <c r="C320" s="56">
        <f t="shared" si="33"/>
        <v>50</v>
      </c>
      <c r="D320" s="56"/>
      <c r="E320" s="56" t="e">
        <f>VLOOKUP(D320,姓名檔!$A$2:$G$159,4,0)</f>
        <v>#N/A</v>
      </c>
      <c r="F320" s="56" t="s">
        <v>15</v>
      </c>
      <c r="G320" s="56" t="str">
        <f>VLOOKUP(F320,姓名檔!$H$3:$I$18,2)</f>
        <v>主日奉獻</v>
      </c>
      <c r="H320" s="56" t="e">
        <f>VLOOKUP(D320,姓名檔!$A$2:G$159,5,0)</f>
        <v>#N/A</v>
      </c>
      <c r="I320" s="56"/>
      <c r="J320" s="141"/>
      <c r="K320" s="96"/>
      <c r="L320" s="57"/>
      <c r="M320" s="72"/>
      <c r="N320" s="72"/>
    </row>
    <row r="321" spans="1:14" x14ac:dyDescent="0.3">
      <c r="A321" s="55">
        <v>46363</v>
      </c>
      <c r="B321" s="56">
        <f t="shared" si="34"/>
        <v>12</v>
      </c>
      <c r="C321" s="56">
        <f t="shared" si="33"/>
        <v>50</v>
      </c>
      <c r="D321" s="56"/>
      <c r="E321" s="56" t="e">
        <f>VLOOKUP(D321,姓名檔!$A$2:$G$159,4,0)</f>
        <v>#N/A</v>
      </c>
      <c r="F321" s="56" t="s">
        <v>15</v>
      </c>
      <c r="G321" s="56" t="str">
        <f>VLOOKUP(F321,姓名檔!$H$3:$I$18,2)</f>
        <v>主日奉獻</v>
      </c>
      <c r="H321" s="56" t="e">
        <f>VLOOKUP(D321,姓名檔!$A$2:G$159,5,0)</f>
        <v>#N/A</v>
      </c>
      <c r="I321" s="56"/>
      <c r="J321" s="141"/>
      <c r="K321" s="56"/>
      <c r="L321" s="57"/>
      <c r="M321" s="72"/>
      <c r="N321" s="72"/>
    </row>
    <row r="322" spans="1:14" x14ac:dyDescent="0.3">
      <c r="A322" s="55">
        <v>46363</v>
      </c>
      <c r="B322" s="56">
        <f t="shared" si="34"/>
        <v>12</v>
      </c>
      <c r="C322" s="56">
        <f t="shared" si="33"/>
        <v>50</v>
      </c>
      <c r="D322" s="56"/>
      <c r="E322" s="56" t="e">
        <f>VLOOKUP(D322,姓名檔!$A$2:$G$159,4,0)</f>
        <v>#N/A</v>
      </c>
      <c r="F322" s="56" t="s">
        <v>15</v>
      </c>
      <c r="G322" s="56" t="str">
        <f>VLOOKUP(F322,姓名檔!$H$3:$I$18,2)</f>
        <v>主日奉獻</v>
      </c>
      <c r="H322" s="56" t="e">
        <f>VLOOKUP(D322,姓名檔!$A$2:G$159,5,0)</f>
        <v>#N/A</v>
      </c>
      <c r="I322" s="56"/>
      <c r="J322" s="141"/>
      <c r="K322" s="56"/>
      <c r="L322" s="57"/>
      <c r="M322" s="72"/>
      <c r="N322" s="72"/>
    </row>
    <row r="323" spans="1:14" x14ac:dyDescent="0.3">
      <c r="A323" s="55">
        <v>46363</v>
      </c>
      <c r="B323" s="56">
        <f t="shared" si="34"/>
        <v>12</v>
      </c>
      <c r="C323" s="56">
        <f t="shared" si="33"/>
        <v>50</v>
      </c>
      <c r="D323" s="56"/>
      <c r="E323" s="56" t="e">
        <f>VLOOKUP(D323,姓名檔!$A$2:$G$159,4,0)</f>
        <v>#N/A</v>
      </c>
      <c r="F323" s="56" t="s">
        <v>15</v>
      </c>
      <c r="G323" s="56" t="str">
        <f>VLOOKUP(F323,姓名檔!$H$3:$I$18,2)</f>
        <v>主日奉獻</v>
      </c>
      <c r="H323" s="56" t="e">
        <f>VLOOKUP(D323,姓名檔!$A$2:G$159,5,0)</f>
        <v>#N/A</v>
      </c>
      <c r="I323" s="56"/>
      <c r="J323" s="141"/>
      <c r="K323" s="96"/>
      <c r="L323" s="57"/>
      <c r="M323" s="72"/>
      <c r="N323" s="72"/>
    </row>
    <row r="324" spans="1:14" x14ac:dyDescent="0.3">
      <c r="A324" s="55">
        <v>46370</v>
      </c>
      <c r="B324" s="56">
        <f t="shared" si="34"/>
        <v>12</v>
      </c>
      <c r="C324" s="56">
        <f t="shared" si="33"/>
        <v>51</v>
      </c>
      <c r="D324" s="56"/>
      <c r="E324" s="56" t="e">
        <f>VLOOKUP(D324,姓名檔!$A$2:$G$159,4,0)</f>
        <v>#N/A</v>
      </c>
      <c r="F324" s="56" t="s">
        <v>15</v>
      </c>
      <c r="G324" s="56" t="str">
        <f>VLOOKUP(F324,姓名檔!$H$3:$I$18,2)</f>
        <v>主日奉獻</v>
      </c>
      <c r="H324" s="56" t="e">
        <f>VLOOKUP(D324,姓名檔!$A$2:G$159,5,0)</f>
        <v>#N/A</v>
      </c>
      <c r="I324" s="56"/>
      <c r="J324" s="141"/>
      <c r="K324" s="56"/>
      <c r="L324" s="57"/>
      <c r="M324" s="72"/>
      <c r="N324" s="72"/>
    </row>
    <row r="325" spans="1:14" x14ac:dyDescent="0.3">
      <c r="A325" s="55">
        <v>46370</v>
      </c>
      <c r="B325" s="56">
        <f t="shared" si="34"/>
        <v>12</v>
      </c>
      <c r="C325" s="56">
        <f t="shared" si="33"/>
        <v>51</v>
      </c>
      <c r="D325" s="56"/>
      <c r="E325" s="56" t="e">
        <f>VLOOKUP(D325,姓名檔!$A$2:$G$159,4,0)</f>
        <v>#N/A</v>
      </c>
      <c r="F325" s="56" t="s">
        <v>15</v>
      </c>
      <c r="G325" s="56" t="str">
        <f>VLOOKUP(F325,姓名檔!$H$3:$I$18,2)</f>
        <v>主日奉獻</v>
      </c>
      <c r="H325" s="56" t="e">
        <f>VLOOKUP(D325,姓名檔!$A$2:G$159,5,0)</f>
        <v>#N/A</v>
      </c>
      <c r="I325" s="56"/>
      <c r="J325" s="141"/>
      <c r="K325" s="96"/>
      <c r="L325" s="57"/>
      <c r="M325" s="72"/>
      <c r="N325" s="72"/>
    </row>
    <row r="326" spans="1:14" x14ac:dyDescent="0.3">
      <c r="A326" s="55">
        <v>46370</v>
      </c>
      <c r="B326" s="56">
        <f t="shared" si="34"/>
        <v>12</v>
      </c>
      <c r="C326" s="56">
        <f t="shared" si="33"/>
        <v>51</v>
      </c>
      <c r="D326" s="56"/>
      <c r="E326" s="56" t="e">
        <f>VLOOKUP(D326,姓名檔!$A$2:$G$159,4,0)</f>
        <v>#N/A</v>
      </c>
      <c r="F326" s="56" t="s">
        <v>15</v>
      </c>
      <c r="G326" s="56" t="str">
        <f>VLOOKUP(F326,姓名檔!$H$3:$I$18,2)</f>
        <v>主日奉獻</v>
      </c>
      <c r="H326" s="56" t="e">
        <f>VLOOKUP(D326,姓名檔!$A$2:G$159,5,0)</f>
        <v>#N/A</v>
      </c>
      <c r="I326" s="56"/>
      <c r="J326" s="141"/>
      <c r="K326" s="56"/>
      <c r="L326" s="57"/>
      <c r="M326" s="72"/>
      <c r="N326" s="72"/>
    </row>
    <row r="327" spans="1:14" x14ac:dyDescent="0.3">
      <c r="A327" s="55">
        <v>46370</v>
      </c>
      <c r="B327" s="56">
        <f t="shared" si="34"/>
        <v>12</v>
      </c>
      <c r="C327" s="56">
        <f t="shared" si="33"/>
        <v>51</v>
      </c>
      <c r="D327" s="56"/>
      <c r="E327" s="56" t="e">
        <f>VLOOKUP(D327,姓名檔!$A$2:$G$159,4,0)</f>
        <v>#N/A</v>
      </c>
      <c r="F327" s="56" t="s">
        <v>15</v>
      </c>
      <c r="G327" s="56" t="str">
        <f>VLOOKUP(F327,姓名檔!$H$3:$I$18,2)</f>
        <v>主日奉獻</v>
      </c>
      <c r="H327" s="56" t="e">
        <f>VLOOKUP(D327,姓名檔!$A$2:G$159,5,0)</f>
        <v>#N/A</v>
      </c>
      <c r="I327" s="56"/>
      <c r="J327" s="141"/>
      <c r="K327" s="56"/>
      <c r="L327" s="57"/>
      <c r="M327" s="72"/>
      <c r="N327" s="72"/>
    </row>
    <row r="328" spans="1:14" x14ac:dyDescent="0.3">
      <c r="A328" s="55">
        <v>46370</v>
      </c>
      <c r="B328" s="56">
        <f t="shared" si="34"/>
        <v>12</v>
      </c>
      <c r="C328" s="56">
        <f t="shared" si="33"/>
        <v>51</v>
      </c>
      <c r="D328" s="56"/>
      <c r="E328" s="56" t="e">
        <f>VLOOKUP(D328,姓名檔!$A$2:$G$159,4,0)</f>
        <v>#N/A</v>
      </c>
      <c r="F328" s="56" t="s">
        <v>15</v>
      </c>
      <c r="G328" s="56" t="str">
        <f>VLOOKUP(F328,姓名檔!$H$3:$I$18,2)</f>
        <v>主日奉獻</v>
      </c>
      <c r="H328" s="56" t="e">
        <f>VLOOKUP(D328,姓名檔!$A$2:G$159,5,0)</f>
        <v>#N/A</v>
      </c>
      <c r="I328" s="56"/>
      <c r="J328" s="141"/>
      <c r="K328" s="56"/>
      <c r="L328" s="57"/>
      <c r="M328" s="72"/>
      <c r="N328" s="72"/>
    </row>
    <row r="329" spans="1:14" x14ac:dyDescent="0.3">
      <c r="A329" s="55">
        <v>46370</v>
      </c>
      <c r="B329" s="56">
        <f t="shared" si="34"/>
        <v>12</v>
      </c>
      <c r="C329" s="56">
        <f t="shared" si="33"/>
        <v>51</v>
      </c>
      <c r="D329" s="56"/>
      <c r="E329" s="56" t="e">
        <f>VLOOKUP(D329,姓名檔!$A$2:$G$159,4,0)</f>
        <v>#N/A</v>
      </c>
      <c r="F329" s="56" t="s">
        <v>15</v>
      </c>
      <c r="G329" s="56" t="str">
        <f>VLOOKUP(F329,姓名檔!$H$3:$I$18,2)</f>
        <v>主日奉獻</v>
      </c>
      <c r="H329" s="56" t="e">
        <f>VLOOKUP(D329,姓名檔!$A$2:G$159,5,0)</f>
        <v>#N/A</v>
      </c>
      <c r="I329" s="56"/>
      <c r="J329" s="141"/>
      <c r="K329" s="56"/>
      <c r="L329" s="57"/>
      <c r="M329" s="72"/>
      <c r="N329" s="72"/>
    </row>
    <row r="330" spans="1:14" x14ac:dyDescent="0.3">
      <c r="A330" s="55">
        <v>46370</v>
      </c>
      <c r="B330" s="56">
        <f t="shared" si="34"/>
        <v>12</v>
      </c>
      <c r="C330" s="56">
        <f t="shared" si="33"/>
        <v>51</v>
      </c>
      <c r="D330" s="56"/>
      <c r="E330" s="56" t="e">
        <f>VLOOKUP(D330,姓名檔!$A$2:$G$159,4,0)</f>
        <v>#N/A</v>
      </c>
      <c r="F330" s="56" t="s">
        <v>15</v>
      </c>
      <c r="G330" s="56" t="str">
        <f>VLOOKUP(F330,姓名檔!$H$3:$I$18,2)</f>
        <v>主日奉獻</v>
      </c>
      <c r="H330" s="56" t="e">
        <f>VLOOKUP(D330,姓名檔!$A$2:G$159,5,0)</f>
        <v>#N/A</v>
      </c>
      <c r="I330" s="56"/>
      <c r="J330" s="141"/>
      <c r="K330" s="56"/>
      <c r="L330" s="57"/>
      <c r="M330" s="72"/>
      <c r="N330" s="72"/>
    </row>
    <row r="331" spans="1:14" x14ac:dyDescent="0.3">
      <c r="A331" s="55">
        <v>46370</v>
      </c>
      <c r="B331" s="56">
        <f t="shared" si="34"/>
        <v>12</v>
      </c>
      <c r="C331" s="56">
        <f t="shared" si="33"/>
        <v>51</v>
      </c>
      <c r="D331" s="56"/>
      <c r="E331" s="56" t="e">
        <f>VLOOKUP(D331,姓名檔!$A$2:$G$159,4,0)</f>
        <v>#N/A</v>
      </c>
      <c r="F331" s="56" t="s">
        <v>15</v>
      </c>
      <c r="G331" s="56" t="str">
        <f>VLOOKUP(F331,姓名檔!$H$3:$I$18,2)</f>
        <v>主日奉獻</v>
      </c>
      <c r="H331" s="56" t="e">
        <f>VLOOKUP(D331,姓名檔!$A$2:G$159,5,0)</f>
        <v>#N/A</v>
      </c>
      <c r="I331" s="56"/>
      <c r="J331" s="141"/>
      <c r="K331" s="56"/>
      <c r="L331" s="57"/>
      <c r="M331" s="72"/>
      <c r="N331" s="72"/>
    </row>
    <row r="332" spans="1:14" x14ac:dyDescent="0.3">
      <c r="A332" s="55">
        <v>46370</v>
      </c>
      <c r="B332" s="56">
        <f t="shared" si="34"/>
        <v>12</v>
      </c>
      <c r="C332" s="56">
        <f t="shared" si="33"/>
        <v>51</v>
      </c>
      <c r="D332" s="56"/>
      <c r="E332" s="56" t="e">
        <f>VLOOKUP(D332,姓名檔!$A$2:$G$159,4,0)</f>
        <v>#N/A</v>
      </c>
      <c r="F332" s="56" t="s">
        <v>15</v>
      </c>
      <c r="G332" s="56" t="str">
        <f>VLOOKUP(F332,姓名檔!$H$3:$I$18,2)</f>
        <v>主日奉獻</v>
      </c>
      <c r="H332" s="56" t="e">
        <f>VLOOKUP(D332,姓名檔!$A$2:G$159,5,0)</f>
        <v>#N/A</v>
      </c>
      <c r="I332" s="56"/>
      <c r="J332" s="141"/>
      <c r="K332" s="96"/>
      <c r="L332" s="57"/>
      <c r="M332" s="72"/>
      <c r="N332" s="72"/>
    </row>
    <row r="333" spans="1:14" x14ac:dyDescent="0.3">
      <c r="A333" s="55">
        <v>46377</v>
      </c>
      <c r="B333" s="56">
        <f t="shared" si="34"/>
        <v>12</v>
      </c>
      <c r="C333" s="56">
        <f t="shared" si="33"/>
        <v>52</v>
      </c>
      <c r="D333" s="56"/>
      <c r="E333" s="56" t="e">
        <f>VLOOKUP(D333,姓名檔!$A$2:$G$159,4,0)</f>
        <v>#N/A</v>
      </c>
      <c r="F333" s="56" t="s">
        <v>15</v>
      </c>
      <c r="G333" s="56" t="str">
        <f>VLOOKUP(F333,姓名檔!$H$3:$I$18,2)</f>
        <v>主日奉獻</v>
      </c>
      <c r="H333" s="56" t="e">
        <f>VLOOKUP(D333,姓名檔!$A$2:G$159,5,0)</f>
        <v>#N/A</v>
      </c>
      <c r="I333" s="56"/>
      <c r="J333" s="141"/>
      <c r="K333" s="96"/>
      <c r="L333" s="57"/>
      <c r="M333" s="72"/>
      <c r="N333" s="72"/>
    </row>
    <row r="334" spans="1:14" x14ac:dyDescent="0.3">
      <c r="A334" s="55">
        <v>46377</v>
      </c>
      <c r="B334" s="56">
        <f t="shared" si="34"/>
        <v>12</v>
      </c>
      <c r="C334" s="56">
        <f t="shared" si="33"/>
        <v>52</v>
      </c>
      <c r="D334" s="56"/>
      <c r="E334" s="56" t="e">
        <f>VLOOKUP(D334,姓名檔!$A$2:$G$159,4,0)</f>
        <v>#N/A</v>
      </c>
      <c r="F334" s="56" t="s">
        <v>15</v>
      </c>
      <c r="G334" s="56" t="str">
        <f>VLOOKUP(F334,姓名檔!$H$3:$I$18,2)</f>
        <v>主日奉獻</v>
      </c>
      <c r="H334" s="56" t="e">
        <f>VLOOKUP(D334,姓名檔!$A$2:G$159,5,0)</f>
        <v>#N/A</v>
      </c>
      <c r="I334" s="56"/>
      <c r="J334" s="141"/>
      <c r="K334" s="56"/>
      <c r="L334" s="57"/>
      <c r="M334" s="72"/>
      <c r="N334" s="72"/>
    </row>
    <row r="335" spans="1:14" x14ac:dyDescent="0.3">
      <c r="A335" s="55">
        <v>46377</v>
      </c>
      <c r="B335" s="56">
        <f t="shared" si="34"/>
        <v>12</v>
      </c>
      <c r="C335" s="56">
        <f t="shared" si="33"/>
        <v>52</v>
      </c>
      <c r="D335" s="56"/>
      <c r="E335" s="56" t="e">
        <f>VLOOKUP(D335,姓名檔!$A$2:$G$159,4,0)</f>
        <v>#N/A</v>
      </c>
      <c r="F335" s="56" t="s">
        <v>15</v>
      </c>
      <c r="G335" s="56" t="str">
        <f>VLOOKUP(F335,姓名檔!$H$3:$I$18,2)</f>
        <v>主日奉獻</v>
      </c>
      <c r="H335" s="56" t="e">
        <f>VLOOKUP(D335,姓名檔!$A$2:G$159,5,0)</f>
        <v>#N/A</v>
      </c>
      <c r="I335" s="56"/>
      <c r="J335" s="141"/>
      <c r="K335" s="56"/>
      <c r="L335" s="57"/>
      <c r="M335" s="72"/>
      <c r="N335" s="72"/>
    </row>
    <row r="336" spans="1:14" x14ac:dyDescent="0.3">
      <c r="A336" s="55">
        <v>46377</v>
      </c>
      <c r="B336" s="56">
        <f t="shared" si="34"/>
        <v>12</v>
      </c>
      <c r="C336" s="56">
        <f t="shared" si="33"/>
        <v>52</v>
      </c>
      <c r="D336" s="56"/>
      <c r="E336" s="56" t="e">
        <f>VLOOKUP(D336,姓名檔!$A$2:$G$159,4,0)</f>
        <v>#N/A</v>
      </c>
      <c r="F336" s="56" t="s">
        <v>15</v>
      </c>
      <c r="G336" s="56" t="str">
        <f>VLOOKUP(F336,姓名檔!$H$3:$I$18,2)</f>
        <v>主日奉獻</v>
      </c>
      <c r="H336" s="56" t="e">
        <f>VLOOKUP(D336,姓名檔!$A$2:G$159,5,0)</f>
        <v>#N/A</v>
      </c>
      <c r="I336" s="56"/>
      <c r="J336" s="141"/>
      <c r="K336" s="56"/>
      <c r="L336" s="57"/>
      <c r="M336" s="72"/>
      <c r="N336" s="72"/>
    </row>
    <row r="337" spans="1:14" x14ac:dyDescent="0.3">
      <c r="A337" s="55">
        <v>46377</v>
      </c>
      <c r="B337" s="56">
        <f t="shared" si="34"/>
        <v>12</v>
      </c>
      <c r="C337" s="56">
        <f t="shared" si="33"/>
        <v>52</v>
      </c>
      <c r="D337" s="56"/>
      <c r="E337" s="56" t="e">
        <f>VLOOKUP(D337,姓名檔!$A$2:$G$159,4,0)</f>
        <v>#N/A</v>
      </c>
      <c r="F337" s="56" t="s">
        <v>15</v>
      </c>
      <c r="G337" s="56" t="str">
        <f>VLOOKUP(F337,姓名檔!$H$3:$I$18,2)</f>
        <v>主日奉獻</v>
      </c>
      <c r="H337" s="56" t="e">
        <f>VLOOKUP(D337,姓名檔!$A$2:G$159,5,0)</f>
        <v>#N/A</v>
      </c>
      <c r="I337" s="56"/>
      <c r="J337" s="141"/>
      <c r="K337" s="96"/>
      <c r="L337" s="57"/>
      <c r="M337" s="72"/>
      <c r="N337" s="72"/>
    </row>
    <row r="338" spans="1:14" x14ac:dyDescent="0.3">
      <c r="A338" s="55">
        <v>46384</v>
      </c>
      <c r="B338" s="56">
        <f t="shared" si="34"/>
        <v>12</v>
      </c>
      <c r="C338" s="56">
        <f t="shared" si="33"/>
        <v>53</v>
      </c>
      <c r="D338" s="56"/>
      <c r="E338" s="56" t="e">
        <f>VLOOKUP(D338,姓名檔!$A$2:$G$159,4,0)</f>
        <v>#N/A</v>
      </c>
      <c r="F338" s="56" t="s">
        <v>15</v>
      </c>
      <c r="G338" s="56" t="str">
        <f>VLOOKUP(F338,姓名檔!$H$3:$I$18,2)</f>
        <v>主日奉獻</v>
      </c>
      <c r="H338" s="56" t="e">
        <f>VLOOKUP(D338,姓名檔!$A$2:G$159,5,0)</f>
        <v>#N/A</v>
      </c>
      <c r="I338" s="56"/>
      <c r="J338" s="141"/>
      <c r="K338" s="56"/>
      <c r="L338" s="57"/>
      <c r="M338" s="72"/>
      <c r="N338" s="72"/>
    </row>
    <row r="339" spans="1:14" x14ac:dyDescent="0.3">
      <c r="A339" s="55">
        <v>46384</v>
      </c>
      <c r="B339" s="56">
        <f t="shared" si="34"/>
        <v>12</v>
      </c>
      <c r="C339" s="56">
        <f t="shared" si="33"/>
        <v>53</v>
      </c>
      <c r="D339" s="56"/>
      <c r="E339" s="56" t="e">
        <f>VLOOKUP(D339,姓名檔!$A$2:$G$159,4,0)</f>
        <v>#N/A</v>
      </c>
      <c r="F339" s="56" t="s">
        <v>15</v>
      </c>
      <c r="G339" s="56" t="str">
        <f>VLOOKUP(F339,姓名檔!$H$3:$I$18,2)</f>
        <v>主日奉獻</v>
      </c>
      <c r="H339" s="56" t="e">
        <f>VLOOKUP(D339,姓名檔!$A$2:G$159,5,0)</f>
        <v>#N/A</v>
      </c>
      <c r="I339" s="56"/>
      <c r="J339" s="141"/>
      <c r="K339" s="56"/>
      <c r="L339" s="57"/>
      <c r="M339" s="72"/>
      <c r="N339" s="72"/>
    </row>
    <row r="340" spans="1:14" x14ac:dyDescent="0.3">
      <c r="A340" s="55">
        <v>46384</v>
      </c>
      <c r="B340" s="56">
        <f t="shared" si="34"/>
        <v>12</v>
      </c>
      <c r="C340" s="56">
        <f t="shared" si="33"/>
        <v>53</v>
      </c>
      <c r="D340" s="56"/>
      <c r="E340" s="56" t="e">
        <f>VLOOKUP(D340,姓名檔!$A$2:$G$159,4,0)</f>
        <v>#N/A</v>
      </c>
      <c r="F340" s="56" t="s">
        <v>15</v>
      </c>
      <c r="G340" s="56" t="str">
        <f>VLOOKUP(F340,姓名檔!$H$3:$I$18,2)</f>
        <v>主日奉獻</v>
      </c>
      <c r="H340" s="56" t="e">
        <f>VLOOKUP(D340,姓名檔!$A$2:G$159,5,0)</f>
        <v>#N/A</v>
      </c>
      <c r="I340" s="56"/>
      <c r="J340" s="141"/>
      <c r="K340" s="56"/>
      <c r="L340" s="57"/>
      <c r="M340" s="72"/>
      <c r="N340" s="72"/>
    </row>
    <row r="341" spans="1:14" x14ac:dyDescent="0.3">
      <c r="A341" s="55">
        <v>46384</v>
      </c>
      <c r="B341" s="56">
        <f t="shared" si="34"/>
        <v>12</v>
      </c>
      <c r="C341" s="56">
        <f t="shared" si="33"/>
        <v>53</v>
      </c>
      <c r="D341" s="56"/>
      <c r="E341" s="56" t="e">
        <f>VLOOKUP(D341,姓名檔!$A$2:$G$159,4,0)</f>
        <v>#N/A</v>
      </c>
      <c r="F341" s="56" t="s">
        <v>15</v>
      </c>
      <c r="G341" s="56" t="str">
        <f>VLOOKUP(F341,姓名檔!$H$3:$I$18,2)</f>
        <v>主日奉獻</v>
      </c>
      <c r="H341" s="56" t="e">
        <f>VLOOKUP(D341,姓名檔!$A$2:G$159,5,0)</f>
        <v>#N/A</v>
      </c>
      <c r="I341" s="56"/>
      <c r="J341" s="141"/>
      <c r="K341" s="96"/>
      <c r="L341" s="57"/>
      <c r="M341" s="72"/>
      <c r="N341" s="72"/>
    </row>
    <row r="342" spans="1:14" x14ac:dyDescent="0.3">
      <c r="A342" s="55">
        <v>46384</v>
      </c>
      <c r="B342" s="56">
        <f t="shared" si="34"/>
        <v>12</v>
      </c>
      <c r="C342" s="56">
        <f t="shared" si="33"/>
        <v>53</v>
      </c>
      <c r="D342" s="56"/>
      <c r="E342" s="56" t="e">
        <f>VLOOKUP(D342,姓名檔!$A$2:$G$159,4,0)</f>
        <v>#N/A</v>
      </c>
      <c r="F342" s="56" t="s">
        <v>15</v>
      </c>
      <c r="G342" s="56" t="str">
        <f>VLOOKUP(F342,姓名檔!$H$3:$I$18,2)</f>
        <v>主日奉獻</v>
      </c>
      <c r="H342" s="56" t="e">
        <f>VLOOKUP(D342,姓名檔!$A$2:G$159,5,0)</f>
        <v>#N/A</v>
      </c>
      <c r="I342" s="56"/>
      <c r="J342" s="141"/>
      <c r="K342" s="56"/>
      <c r="L342" s="57"/>
      <c r="M342" s="72"/>
      <c r="N342" s="72"/>
    </row>
    <row r="343" spans="1:14" x14ac:dyDescent="0.3">
      <c r="A343" s="55">
        <v>46384</v>
      </c>
      <c r="B343" s="56">
        <f t="shared" si="34"/>
        <v>12</v>
      </c>
      <c r="C343" s="56">
        <f t="shared" si="33"/>
        <v>53</v>
      </c>
      <c r="D343" s="56"/>
      <c r="E343" s="56" t="e">
        <f>VLOOKUP(D343,姓名檔!$A$2:$G$159,4,0)</f>
        <v>#N/A</v>
      </c>
      <c r="F343" s="56" t="s">
        <v>15</v>
      </c>
      <c r="G343" s="56" t="str">
        <f>VLOOKUP(F343,姓名檔!$H$3:$I$18,2)</f>
        <v>主日奉獻</v>
      </c>
      <c r="H343" s="56" t="e">
        <f>VLOOKUP(D343,姓名檔!$A$2:G$159,5,0)</f>
        <v>#N/A</v>
      </c>
      <c r="I343" s="56"/>
      <c r="J343" s="141"/>
      <c r="K343" s="96"/>
      <c r="L343" s="57"/>
      <c r="M343" s="72"/>
      <c r="N343" s="72"/>
    </row>
    <row r="344" spans="1:14" x14ac:dyDescent="0.3">
      <c r="A344" s="55">
        <v>46384</v>
      </c>
      <c r="B344" s="56">
        <f t="shared" si="34"/>
        <v>12</v>
      </c>
      <c r="C344" s="56">
        <f t="shared" si="33"/>
        <v>53</v>
      </c>
      <c r="D344" s="56"/>
      <c r="E344" s="56" t="e">
        <f>VLOOKUP(D344,姓名檔!$A$2:$G$159,4,0)</f>
        <v>#N/A</v>
      </c>
      <c r="F344" s="56" t="s">
        <v>15</v>
      </c>
      <c r="G344" s="56" t="str">
        <f>VLOOKUP(F344,姓名檔!$H$3:$I$18,2)</f>
        <v>主日奉獻</v>
      </c>
      <c r="H344" s="56" t="e">
        <f>VLOOKUP(D344,姓名檔!$A$2:G$159,5,0)</f>
        <v>#N/A</v>
      </c>
      <c r="I344" s="56"/>
      <c r="J344" s="141"/>
      <c r="K344" s="56"/>
      <c r="L344" s="57"/>
      <c r="M344" s="72"/>
      <c r="N344" s="72"/>
    </row>
    <row r="345" spans="1:14" x14ac:dyDescent="0.3">
      <c r="A345" s="55">
        <v>46384</v>
      </c>
      <c r="B345" s="56">
        <f t="shared" si="34"/>
        <v>12</v>
      </c>
      <c r="C345" s="56">
        <f t="shared" si="33"/>
        <v>53</v>
      </c>
      <c r="D345" s="56"/>
      <c r="E345" s="56" t="e">
        <f>VLOOKUP(D345,姓名檔!$A$2:$G$159,4,0)</f>
        <v>#N/A</v>
      </c>
      <c r="F345" s="56" t="s">
        <v>15</v>
      </c>
      <c r="G345" s="56" t="str">
        <f>VLOOKUP(F345,姓名檔!$H$3:$I$18,2)</f>
        <v>主日奉獻</v>
      </c>
      <c r="H345" s="56" t="e">
        <f>VLOOKUP(D345,姓名檔!$A$2:G$159,5,0)</f>
        <v>#N/A</v>
      </c>
      <c r="I345" s="56"/>
      <c r="J345" s="141"/>
      <c r="K345" s="96"/>
      <c r="L345" s="57"/>
      <c r="M345" s="72"/>
      <c r="N345" s="72"/>
    </row>
    <row r="346" spans="1:14" x14ac:dyDescent="0.3">
      <c r="A346" s="55">
        <v>46357</v>
      </c>
      <c r="B346" s="56">
        <f t="shared" si="34"/>
        <v>12</v>
      </c>
      <c r="C346" s="56">
        <f t="shared" si="33"/>
        <v>49</v>
      </c>
      <c r="D346" s="56"/>
      <c r="E346" s="56" t="e">
        <f>VLOOKUP(D346,姓名檔!$A$2:$G$159,4,0)</f>
        <v>#N/A</v>
      </c>
      <c r="F346" s="56" t="s">
        <v>15</v>
      </c>
      <c r="G346" s="56" t="str">
        <f>VLOOKUP(F346,姓名檔!$H$3:$I$18,2)</f>
        <v>主日奉獻</v>
      </c>
      <c r="H346" s="56" t="e">
        <f>VLOOKUP(D346,姓名檔!$A$2:G$159,5,0)</f>
        <v>#N/A</v>
      </c>
      <c r="I346" s="56"/>
      <c r="J346" s="141"/>
      <c r="K346" s="56"/>
      <c r="L346" s="57"/>
      <c r="M346" s="72"/>
      <c r="N346" s="72"/>
    </row>
    <row r="347" spans="1:14" x14ac:dyDescent="0.3">
      <c r="A347" s="55">
        <v>46364</v>
      </c>
      <c r="B347" s="56">
        <f t="shared" si="34"/>
        <v>12</v>
      </c>
      <c r="C347" s="56">
        <f t="shared" si="33"/>
        <v>50</v>
      </c>
      <c r="D347" s="56"/>
      <c r="E347" s="56" t="e">
        <f>VLOOKUP(D347,姓名檔!$A$2:$G$159,4,0)</f>
        <v>#N/A</v>
      </c>
      <c r="F347" s="56" t="s">
        <v>15</v>
      </c>
      <c r="G347" s="56" t="str">
        <f>VLOOKUP(F347,姓名檔!$H$3:$I$18,2)</f>
        <v>主日奉獻</v>
      </c>
      <c r="H347" s="56" t="e">
        <f>VLOOKUP(D347,姓名檔!$A$2:G$159,5,0)</f>
        <v>#N/A</v>
      </c>
      <c r="I347" s="56"/>
      <c r="J347" s="141"/>
      <c r="K347" s="56"/>
      <c r="L347" s="57"/>
      <c r="M347" s="72"/>
      <c r="N347" s="72"/>
    </row>
    <row r="348" spans="1:14" x14ac:dyDescent="0.3">
      <c r="A348" s="55">
        <v>46364</v>
      </c>
      <c r="B348" s="56">
        <f t="shared" si="34"/>
        <v>12</v>
      </c>
      <c r="C348" s="56">
        <f t="shared" si="33"/>
        <v>50</v>
      </c>
      <c r="D348" s="56"/>
      <c r="E348" s="56" t="e">
        <f>VLOOKUP(D348,姓名檔!$A$2:$G$159,4,0)</f>
        <v>#N/A</v>
      </c>
      <c r="F348" s="56" t="s">
        <v>15</v>
      </c>
      <c r="G348" s="56" t="str">
        <f>VLOOKUP(F348,姓名檔!$H$3:$I$18,2)</f>
        <v>主日奉獻</v>
      </c>
      <c r="H348" s="56" t="e">
        <f>VLOOKUP(D348,姓名檔!$A$2:G$159,5,0)</f>
        <v>#N/A</v>
      </c>
      <c r="I348" s="56"/>
      <c r="J348" s="141"/>
      <c r="K348" s="56"/>
      <c r="L348" s="57"/>
      <c r="M348" s="72"/>
      <c r="N348" s="72"/>
    </row>
    <row r="349" spans="1:14" x14ac:dyDescent="0.3">
      <c r="A349" s="55">
        <v>46371</v>
      </c>
      <c r="B349" s="56">
        <f t="shared" si="34"/>
        <v>12</v>
      </c>
      <c r="C349" s="56">
        <f t="shared" si="33"/>
        <v>51</v>
      </c>
      <c r="D349" s="56"/>
      <c r="E349" s="56" t="e">
        <f>VLOOKUP(D349,姓名檔!$A$2:$G$159,4,0)</f>
        <v>#N/A</v>
      </c>
      <c r="F349" s="56" t="s">
        <v>15</v>
      </c>
      <c r="G349" s="56" t="str">
        <f>VLOOKUP(F349,姓名檔!$H$3:$I$18,2)</f>
        <v>主日奉獻</v>
      </c>
      <c r="H349" s="56" t="e">
        <f>VLOOKUP(D349,姓名檔!$A$2:G$159,5,0)</f>
        <v>#N/A</v>
      </c>
      <c r="I349" s="56"/>
      <c r="J349" s="141"/>
      <c r="K349" s="56"/>
      <c r="L349" s="57"/>
      <c r="M349" s="72"/>
      <c r="N349" s="72"/>
    </row>
    <row r="350" spans="1:14" x14ac:dyDescent="0.3">
      <c r="A350" s="55">
        <v>46371</v>
      </c>
      <c r="B350" s="56">
        <f t="shared" si="34"/>
        <v>12</v>
      </c>
      <c r="C350" s="56">
        <f t="shared" si="33"/>
        <v>51</v>
      </c>
      <c r="D350" s="56"/>
      <c r="E350" s="56" t="e">
        <f>VLOOKUP(D350,姓名檔!$A$2:$G$159,4,0)</f>
        <v>#N/A</v>
      </c>
      <c r="F350" s="56" t="s">
        <v>15</v>
      </c>
      <c r="G350" s="56" t="str">
        <f>VLOOKUP(F350,姓名檔!$H$3:$I$18,2)</f>
        <v>主日奉獻</v>
      </c>
      <c r="H350" s="56" t="e">
        <f>VLOOKUP(D350,姓名檔!$A$2:G$159,5,0)</f>
        <v>#N/A</v>
      </c>
      <c r="I350" s="56"/>
      <c r="J350" s="141"/>
      <c r="K350" s="96"/>
      <c r="L350" s="57"/>
      <c r="M350" s="72"/>
      <c r="N350" s="72"/>
    </row>
    <row r="351" spans="1:14" x14ac:dyDescent="0.3">
      <c r="A351" s="55">
        <v>46371</v>
      </c>
      <c r="B351" s="56">
        <f t="shared" si="34"/>
        <v>12</v>
      </c>
      <c r="C351" s="56">
        <f t="shared" si="33"/>
        <v>51</v>
      </c>
      <c r="D351" s="56"/>
      <c r="E351" s="56" t="e">
        <f>VLOOKUP(D351,姓名檔!$A$2:$G$159,4,0)</f>
        <v>#N/A</v>
      </c>
      <c r="F351" s="56" t="s">
        <v>15</v>
      </c>
      <c r="G351" s="56" t="str">
        <f>VLOOKUP(F351,姓名檔!$H$3:$I$18,2)</f>
        <v>主日奉獻</v>
      </c>
      <c r="H351" s="56" t="e">
        <f>VLOOKUP(D351,姓名檔!$A$2:G$159,5,0)</f>
        <v>#N/A</v>
      </c>
      <c r="I351" s="56"/>
      <c r="J351" s="141"/>
      <c r="K351" s="56"/>
      <c r="L351" s="57"/>
      <c r="M351" s="72"/>
      <c r="N351" s="72"/>
    </row>
    <row r="352" spans="1:14" x14ac:dyDescent="0.3">
      <c r="A352" s="55">
        <v>46371</v>
      </c>
      <c r="B352" s="56">
        <f t="shared" si="34"/>
        <v>12</v>
      </c>
      <c r="C352" s="56">
        <f t="shared" si="33"/>
        <v>51</v>
      </c>
      <c r="D352" s="56"/>
      <c r="E352" s="56" t="e">
        <f>VLOOKUP(D352,姓名檔!$A$2:$G$159,4,0)</f>
        <v>#N/A</v>
      </c>
      <c r="F352" s="56" t="s">
        <v>15</v>
      </c>
      <c r="G352" s="56" t="str">
        <f>VLOOKUP(F352,姓名檔!$H$3:$I$18,2)</f>
        <v>主日奉獻</v>
      </c>
      <c r="H352" s="56" t="e">
        <f>VLOOKUP(D352,姓名檔!$A$2:G$159,5,0)</f>
        <v>#N/A</v>
      </c>
      <c r="I352" s="56"/>
      <c r="J352" s="141"/>
      <c r="K352" s="56"/>
      <c r="L352" s="57"/>
      <c r="M352" s="72"/>
      <c r="N352" s="72"/>
    </row>
    <row r="353" spans="1:14" x14ac:dyDescent="0.3">
      <c r="A353" s="55">
        <v>46371</v>
      </c>
      <c r="B353" s="56">
        <f t="shared" si="34"/>
        <v>12</v>
      </c>
      <c r="C353" s="56">
        <f t="shared" si="33"/>
        <v>51</v>
      </c>
      <c r="D353" s="56"/>
      <c r="E353" s="56" t="e">
        <f>VLOOKUP(D353,姓名檔!$A$2:$G$159,4,0)</f>
        <v>#N/A</v>
      </c>
      <c r="F353" s="56" t="s">
        <v>15</v>
      </c>
      <c r="G353" s="56" t="str">
        <f>VLOOKUP(F353,姓名檔!$H$3:$I$18,2)</f>
        <v>主日奉獻</v>
      </c>
      <c r="H353" s="56" t="e">
        <f>VLOOKUP(D353,姓名檔!$A$2:G$159,5,0)</f>
        <v>#N/A</v>
      </c>
      <c r="I353" s="56"/>
      <c r="J353" s="141"/>
      <c r="K353" s="56"/>
      <c r="L353" s="57"/>
      <c r="M353" s="72"/>
      <c r="N353" s="72"/>
    </row>
    <row r="354" spans="1:14" x14ac:dyDescent="0.3">
      <c r="A354" s="55">
        <v>46371</v>
      </c>
      <c r="B354" s="56">
        <f t="shared" si="34"/>
        <v>12</v>
      </c>
      <c r="C354" s="56">
        <f t="shared" si="33"/>
        <v>51</v>
      </c>
      <c r="D354" s="56"/>
      <c r="E354" s="56" t="e">
        <f>VLOOKUP(D354,姓名檔!$A$2:$G$159,4,0)</f>
        <v>#N/A</v>
      </c>
      <c r="F354" s="56" t="s">
        <v>15</v>
      </c>
      <c r="G354" s="56" t="str">
        <f>VLOOKUP(F354,姓名檔!$H$3:$I$18,2)</f>
        <v>主日奉獻</v>
      </c>
      <c r="H354" s="56" t="e">
        <f>VLOOKUP(D354,姓名檔!$A$2:G$159,5,0)</f>
        <v>#N/A</v>
      </c>
      <c r="I354" s="56"/>
      <c r="J354" s="141"/>
      <c r="K354" s="56"/>
      <c r="L354" s="57"/>
      <c r="M354" s="72"/>
      <c r="N354" s="72"/>
    </row>
    <row r="355" spans="1:14" x14ac:dyDescent="0.3">
      <c r="A355" s="55">
        <v>46371</v>
      </c>
      <c r="B355" s="56">
        <f t="shared" si="34"/>
        <v>12</v>
      </c>
      <c r="C355" s="56">
        <f t="shared" si="33"/>
        <v>51</v>
      </c>
      <c r="D355" s="56"/>
      <c r="E355" s="56" t="e">
        <f>VLOOKUP(D355,姓名檔!$A$2:$G$159,4,0)</f>
        <v>#N/A</v>
      </c>
      <c r="F355" s="56" t="s">
        <v>15</v>
      </c>
      <c r="G355" s="56" t="str">
        <f>VLOOKUP(F355,姓名檔!$H$3:$I$18,2)</f>
        <v>主日奉獻</v>
      </c>
      <c r="H355" s="56" t="e">
        <f>VLOOKUP(D355,姓名檔!$A$2:G$159,5,0)</f>
        <v>#N/A</v>
      </c>
      <c r="I355" s="56"/>
      <c r="J355" s="141"/>
      <c r="K355" s="56"/>
      <c r="L355" s="57"/>
      <c r="M355" s="72"/>
      <c r="N355" s="72"/>
    </row>
    <row r="356" spans="1:14" x14ac:dyDescent="0.3">
      <c r="A356" s="55">
        <v>46378</v>
      </c>
      <c r="B356" s="56">
        <f t="shared" si="34"/>
        <v>12</v>
      </c>
      <c r="C356" s="56">
        <f t="shared" si="33"/>
        <v>52</v>
      </c>
      <c r="D356" s="56"/>
      <c r="E356" s="56" t="e">
        <f>VLOOKUP(D356,姓名檔!$A$2:$G$159,4,0)</f>
        <v>#N/A</v>
      </c>
      <c r="F356" s="56" t="s">
        <v>15</v>
      </c>
      <c r="G356" s="56" t="str">
        <f>VLOOKUP(F356,姓名檔!$H$3:$I$18,2)</f>
        <v>主日奉獻</v>
      </c>
      <c r="H356" s="56" t="e">
        <f>VLOOKUP(D356,姓名檔!$A$2:G$159,5,0)</f>
        <v>#N/A</v>
      </c>
      <c r="I356" s="56"/>
      <c r="J356" s="141"/>
      <c r="K356" s="56"/>
      <c r="L356" s="57"/>
      <c r="M356" s="72"/>
      <c r="N356" s="72"/>
    </row>
    <row r="357" spans="1:14" x14ac:dyDescent="0.3">
      <c r="A357" s="55">
        <v>46378</v>
      </c>
      <c r="B357" s="56">
        <f t="shared" si="34"/>
        <v>12</v>
      </c>
      <c r="C357" s="56">
        <f t="shared" si="33"/>
        <v>52</v>
      </c>
      <c r="D357" s="56"/>
      <c r="E357" s="56" t="e">
        <f>VLOOKUP(D357,姓名檔!$A$2:$G$159,4,0)</f>
        <v>#N/A</v>
      </c>
      <c r="F357" s="56" t="s">
        <v>15</v>
      </c>
      <c r="G357" s="56" t="str">
        <f>VLOOKUP(F357,姓名檔!$H$3:$I$18,2)</f>
        <v>主日奉獻</v>
      </c>
      <c r="H357" s="56" t="e">
        <f>VLOOKUP(D357,姓名檔!$A$2:G$159,5,0)</f>
        <v>#N/A</v>
      </c>
      <c r="I357" s="56"/>
      <c r="J357" s="141"/>
      <c r="K357" s="56"/>
      <c r="L357" s="57"/>
      <c r="M357" s="72"/>
      <c r="N357" s="72"/>
    </row>
    <row r="358" spans="1:14" x14ac:dyDescent="0.3">
      <c r="A358" s="55">
        <v>46378</v>
      </c>
      <c r="B358" s="56">
        <f t="shared" si="34"/>
        <v>12</v>
      </c>
      <c r="C358" s="56">
        <f t="shared" si="33"/>
        <v>52</v>
      </c>
      <c r="D358" s="56"/>
      <c r="E358" s="56" t="e">
        <f>VLOOKUP(D358,姓名檔!$A$2:$G$159,4,0)</f>
        <v>#N/A</v>
      </c>
      <c r="F358" s="56" t="s">
        <v>15</v>
      </c>
      <c r="G358" s="56" t="str">
        <f>VLOOKUP(F358,姓名檔!$H$3:$I$18,2)</f>
        <v>主日奉獻</v>
      </c>
      <c r="H358" s="56" t="e">
        <f>VLOOKUP(D358,姓名檔!$A$2:G$159,5,0)</f>
        <v>#N/A</v>
      </c>
      <c r="I358" s="56"/>
      <c r="J358" s="141"/>
      <c r="K358" s="96"/>
      <c r="L358" s="57"/>
      <c r="M358" s="72"/>
      <c r="N358" s="72"/>
    </row>
    <row r="359" spans="1:14" x14ac:dyDescent="0.3">
      <c r="A359" s="55">
        <v>46378</v>
      </c>
      <c r="B359" s="56">
        <f t="shared" si="34"/>
        <v>12</v>
      </c>
      <c r="C359" s="56">
        <f t="shared" si="33"/>
        <v>52</v>
      </c>
      <c r="D359" s="56"/>
      <c r="E359" s="56" t="e">
        <f>VLOOKUP(D359,姓名檔!$A$2:$G$159,4,0)</f>
        <v>#N/A</v>
      </c>
      <c r="F359" s="56" t="s">
        <v>15</v>
      </c>
      <c r="G359" s="56" t="str">
        <f>VLOOKUP(F359,姓名檔!$H$3:$I$18,2)</f>
        <v>主日奉獻</v>
      </c>
      <c r="H359" s="56" t="e">
        <f>VLOOKUP(D359,姓名檔!$A$2:G$159,5,0)</f>
        <v>#N/A</v>
      </c>
      <c r="I359" s="56"/>
      <c r="J359" s="141"/>
      <c r="K359" s="56"/>
      <c r="L359" s="57"/>
      <c r="M359" s="72"/>
      <c r="N359" s="72"/>
    </row>
    <row r="360" spans="1:14" x14ac:dyDescent="0.3">
      <c r="A360" s="55">
        <v>46378</v>
      </c>
      <c r="B360" s="56">
        <f t="shared" si="34"/>
        <v>12</v>
      </c>
      <c r="C360" s="56">
        <f t="shared" si="33"/>
        <v>52</v>
      </c>
      <c r="D360" s="56"/>
      <c r="E360" s="56" t="e">
        <f>VLOOKUP(D360,姓名檔!$A$2:$G$159,4,0)</f>
        <v>#N/A</v>
      </c>
      <c r="F360" s="56" t="s">
        <v>15</v>
      </c>
      <c r="G360" s="56" t="str">
        <f>VLOOKUP(F360,姓名檔!$H$3:$I$18,2)</f>
        <v>主日奉獻</v>
      </c>
      <c r="H360" s="56" t="e">
        <f>VLOOKUP(D360,姓名檔!$A$2:G$159,5,0)</f>
        <v>#N/A</v>
      </c>
      <c r="I360" s="56"/>
      <c r="J360" s="141"/>
      <c r="K360" s="56"/>
      <c r="L360" s="57"/>
      <c r="M360" s="72"/>
      <c r="N360" s="72"/>
    </row>
    <row r="361" spans="1:14" x14ac:dyDescent="0.3">
      <c r="A361" s="55">
        <v>46378</v>
      </c>
      <c r="B361" s="56">
        <f t="shared" si="34"/>
        <v>12</v>
      </c>
      <c r="C361" s="56">
        <f t="shared" si="33"/>
        <v>52</v>
      </c>
      <c r="D361" s="56"/>
      <c r="E361" s="56" t="e">
        <f>VLOOKUP(D361,姓名檔!$A$2:$G$159,4,0)</f>
        <v>#N/A</v>
      </c>
      <c r="F361" s="56" t="s">
        <v>15</v>
      </c>
      <c r="G361" s="56" t="str">
        <f>VLOOKUP(F361,姓名檔!$H$3:$I$18,2)</f>
        <v>主日奉獻</v>
      </c>
      <c r="H361" s="56" t="e">
        <f>VLOOKUP(D361,姓名檔!$A$2:G$159,5,0)</f>
        <v>#N/A</v>
      </c>
      <c r="I361" s="56"/>
      <c r="J361" s="141"/>
      <c r="K361" s="56"/>
      <c r="L361" s="57"/>
      <c r="M361" s="72"/>
      <c r="N361" s="72"/>
    </row>
    <row r="362" spans="1:14" x14ac:dyDescent="0.3">
      <c r="A362" s="55">
        <v>46378</v>
      </c>
      <c r="B362" s="56">
        <f t="shared" si="34"/>
        <v>12</v>
      </c>
      <c r="C362" s="56">
        <f t="shared" si="33"/>
        <v>52</v>
      </c>
      <c r="D362" s="56"/>
      <c r="E362" s="56" t="e">
        <f>VLOOKUP(D362,姓名檔!$A$2:$G$159,4,0)</f>
        <v>#N/A</v>
      </c>
      <c r="F362" s="56" t="s">
        <v>15</v>
      </c>
      <c r="G362" s="56" t="str">
        <f>VLOOKUP(F362,姓名檔!$H$3:$I$18,2)</f>
        <v>主日奉獻</v>
      </c>
      <c r="H362" s="56" t="e">
        <f>VLOOKUP(D362,姓名檔!$A$2:G$159,5,0)</f>
        <v>#N/A</v>
      </c>
      <c r="I362" s="56"/>
      <c r="J362" s="141"/>
      <c r="K362" s="96"/>
      <c r="L362" s="57"/>
      <c r="M362" s="72"/>
      <c r="N362" s="72"/>
    </row>
    <row r="363" spans="1:14" x14ac:dyDescent="0.3">
      <c r="A363" s="55">
        <v>46378</v>
      </c>
      <c r="B363" s="56">
        <f t="shared" si="34"/>
        <v>12</v>
      </c>
      <c r="C363" s="56">
        <f t="shared" si="33"/>
        <v>52</v>
      </c>
      <c r="D363" s="56"/>
      <c r="E363" s="56" t="e">
        <f>VLOOKUP(D363,姓名檔!$A$2:$G$159,4,0)</f>
        <v>#N/A</v>
      </c>
      <c r="F363" s="56" t="s">
        <v>15</v>
      </c>
      <c r="G363" s="56" t="str">
        <f>VLOOKUP(F363,姓名檔!$H$3:$I$18,2)</f>
        <v>主日奉獻</v>
      </c>
      <c r="H363" s="56" t="e">
        <f>VLOOKUP(D363,姓名檔!$A$2:G$159,5,0)</f>
        <v>#N/A</v>
      </c>
      <c r="I363" s="56"/>
      <c r="J363" s="141"/>
      <c r="K363" s="56"/>
      <c r="L363" s="57"/>
      <c r="M363" s="72"/>
      <c r="N363" s="72"/>
    </row>
    <row r="364" spans="1:14" x14ac:dyDescent="0.3">
      <c r="A364" s="55">
        <v>46385</v>
      </c>
      <c r="B364" s="56">
        <f t="shared" si="34"/>
        <v>12</v>
      </c>
      <c r="C364" s="56">
        <f t="shared" si="33"/>
        <v>53</v>
      </c>
      <c r="D364" s="56"/>
      <c r="E364" s="56" t="e">
        <f>VLOOKUP(D364,姓名檔!$A$2:$G$159,4,0)</f>
        <v>#N/A</v>
      </c>
      <c r="F364" s="56" t="s">
        <v>15</v>
      </c>
      <c r="G364" s="56" t="str">
        <f>VLOOKUP(F364,姓名檔!$H$3:$I$18,2)</f>
        <v>主日奉獻</v>
      </c>
      <c r="H364" s="56" t="e">
        <f>VLOOKUP(D364,姓名檔!$A$2:G$159,5,0)</f>
        <v>#N/A</v>
      </c>
      <c r="I364" s="56"/>
      <c r="J364" s="141"/>
      <c r="K364" s="56"/>
      <c r="L364" s="57"/>
      <c r="M364" s="72"/>
      <c r="N364" s="72"/>
    </row>
    <row r="365" spans="1:14" x14ac:dyDescent="0.3">
      <c r="A365" s="55">
        <v>46385</v>
      </c>
      <c r="B365" s="56">
        <f t="shared" si="34"/>
        <v>12</v>
      </c>
      <c r="C365" s="56">
        <f t="shared" si="33"/>
        <v>53</v>
      </c>
      <c r="D365" s="56"/>
      <c r="E365" s="56" t="e">
        <f>VLOOKUP(D365,姓名檔!$A$2:$G$159,4,0)</f>
        <v>#N/A</v>
      </c>
      <c r="F365" s="56" t="s">
        <v>15</v>
      </c>
      <c r="G365" s="56" t="str">
        <f>VLOOKUP(F365,姓名檔!$H$3:$I$18,2)</f>
        <v>主日奉獻</v>
      </c>
      <c r="H365" s="56" t="e">
        <f>VLOOKUP(D365,姓名檔!$A$2:G$159,5,0)</f>
        <v>#N/A</v>
      </c>
      <c r="I365" s="56"/>
      <c r="J365" s="141"/>
      <c r="K365" s="56"/>
      <c r="L365" s="57"/>
      <c r="M365" s="72"/>
      <c r="N365" s="72"/>
    </row>
    <row r="366" spans="1:14" x14ac:dyDescent="0.3">
      <c r="A366" s="55">
        <v>46385</v>
      </c>
      <c r="B366" s="56">
        <f t="shared" si="34"/>
        <v>12</v>
      </c>
      <c r="C366" s="56">
        <f t="shared" si="33"/>
        <v>53</v>
      </c>
      <c r="D366" s="56"/>
      <c r="E366" s="56" t="e">
        <f>VLOOKUP(D366,姓名檔!$A$2:$G$159,4,0)</f>
        <v>#N/A</v>
      </c>
      <c r="F366" s="56" t="s">
        <v>15</v>
      </c>
      <c r="G366" s="56" t="str">
        <f>VLOOKUP(F366,姓名檔!$H$3:$I$18,2)</f>
        <v>主日奉獻</v>
      </c>
      <c r="H366" s="56" t="e">
        <f>VLOOKUP(D366,姓名檔!$A$2:G$159,5,0)</f>
        <v>#N/A</v>
      </c>
      <c r="I366" s="56"/>
      <c r="J366" s="141"/>
      <c r="K366" s="56"/>
      <c r="L366" s="57"/>
      <c r="M366" s="72"/>
      <c r="N366" s="72"/>
    </row>
    <row r="367" spans="1:14" x14ac:dyDescent="0.3">
      <c r="A367" s="55">
        <v>46385</v>
      </c>
      <c r="B367" s="56">
        <f t="shared" si="34"/>
        <v>12</v>
      </c>
      <c r="C367" s="56">
        <f t="shared" si="33"/>
        <v>53</v>
      </c>
      <c r="D367" s="56"/>
      <c r="E367" s="56" t="e">
        <f>VLOOKUP(D367,姓名檔!$A$2:$G$159,4,0)</f>
        <v>#N/A</v>
      </c>
      <c r="F367" s="56" t="s">
        <v>15</v>
      </c>
      <c r="G367" s="56" t="str">
        <f>VLOOKUP(F367,姓名檔!$H$3:$I$18,2)</f>
        <v>主日奉獻</v>
      </c>
      <c r="H367" s="56" t="e">
        <f>VLOOKUP(D367,姓名檔!$A$2:G$159,5,0)</f>
        <v>#N/A</v>
      </c>
      <c r="I367" s="56"/>
      <c r="J367" s="141"/>
      <c r="K367" s="56"/>
      <c r="L367" s="57"/>
      <c r="M367" s="72"/>
      <c r="N367" s="72"/>
    </row>
    <row r="368" spans="1:14" x14ac:dyDescent="0.3">
      <c r="A368" s="55">
        <v>46385</v>
      </c>
      <c r="B368" s="56">
        <f t="shared" si="34"/>
        <v>12</v>
      </c>
      <c r="C368" s="56">
        <f t="shared" si="33"/>
        <v>53</v>
      </c>
      <c r="D368" s="56"/>
      <c r="E368" s="56" t="e">
        <f>VLOOKUP(D368,姓名檔!$A$2:$G$159,4,0)</f>
        <v>#N/A</v>
      </c>
      <c r="F368" s="56" t="s">
        <v>15</v>
      </c>
      <c r="G368" s="56" t="str">
        <f>VLOOKUP(F368,姓名檔!$H$3:$I$18,2)</f>
        <v>主日奉獻</v>
      </c>
      <c r="H368" s="56" t="e">
        <f>VLOOKUP(D368,姓名檔!$A$2:G$159,5,0)</f>
        <v>#N/A</v>
      </c>
      <c r="I368" s="56"/>
      <c r="J368" s="141"/>
      <c r="K368" s="56"/>
      <c r="L368" s="57"/>
      <c r="M368" s="72"/>
      <c r="N368" s="72"/>
    </row>
    <row r="369" spans="1:14" x14ac:dyDescent="0.3">
      <c r="A369" s="55">
        <v>46378</v>
      </c>
      <c r="B369" s="56">
        <f t="shared" si="34"/>
        <v>12</v>
      </c>
      <c r="C369" s="56">
        <f t="shared" si="33"/>
        <v>52</v>
      </c>
      <c r="D369" s="56"/>
      <c r="E369" s="56" t="e">
        <f>VLOOKUP(D369,姓名檔!$A$2:$G$159,4,0)</f>
        <v>#N/A</v>
      </c>
      <c r="F369" s="56" t="s">
        <v>15</v>
      </c>
      <c r="G369" s="56" t="str">
        <f>VLOOKUP(F369,姓名檔!$H$3:$I$18,2)</f>
        <v>主日奉獻</v>
      </c>
      <c r="H369" s="56" t="e">
        <f>VLOOKUP(D369,姓名檔!$A$2:G$159,5,0)</f>
        <v>#N/A</v>
      </c>
      <c r="I369" s="56"/>
      <c r="J369" s="141"/>
      <c r="K369" s="56"/>
      <c r="L369" s="57"/>
      <c r="M369" s="72"/>
      <c r="N369" s="72"/>
    </row>
    <row r="370" spans="1:14" x14ac:dyDescent="0.3">
      <c r="A370" s="55">
        <v>46378</v>
      </c>
      <c r="B370" s="56">
        <f t="shared" si="34"/>
        <v>12</v>
      </c>
      <c r="C370" s="56">
        <f t="shared" si="33"/>
        <v>52</v>
      </c>
      <c r="D370" s="56"/>
      <c r="E370" s="56" t="e">
        <f>VLOOKUP(D370,姓名檔!$A$2:$G$159,4,0)</f>
        <v>#N/A</v>
      </c>
      <c r="F370" s="56" t="s">
        <v>15</v>
      </c>
      <c r="G370" s="56" t="str">
        <f>VLOOKUP(F370,姓名檔!$H$3:$I$18,2)</f>
        <v>主日奉獻</v>
      </c>
      <c r="H370" s="56" t="e">
        <f>VLOOKUP(D370,姓名檔!$A$2:G$159,5,0)</f>
        <v>#N/A</v>
      </c>
      <c r="I370" s="56"/>
      <c r="J370" s="141"/>
      <c r="K370" s="56"/>
      <c r="L370" s="57"/>
      <c r="M370" s="72"/>
      <c r="N370" s="72"/>
    </row>
    <row r="371" spans="1:14" x14ac:dyDescent="0.3">
      <c r="A371" s="55">
        <v>46378</v>
      </c>
      <c r="B371" s="56">
        <f t="shared" si="34"/>
        <v>12</v>
      </c>
      <c r="C371" s="56">
        <f t="shared" si="33"/>
        <v>52</v>
      </c>
      <c r="D371" s="56"/>
      <c r="E371" s="56" t="e">
        <f>VLOOKUP(D371,姓名檔!$A$2:$G$159,4,0)</f>
        <v>#N/A</v>
      </c>
      <c r="F371" s="56" t="s">
        <v>15</v>
      </c>
      <c r="G371" s="56" t="str">
        <f>VLOOKUP(F371,姓名檔!$H$3:$I$18,2)</f>
        <v>主日奉獻</v>
      </c>
      <c r="H371" s="56" t="e">
        <f>VLOOKUP(D371,姓名檔!$A$2:G$159,5,0)</f>
        <v>#N/A</v>
      </c>
      <c r="I371" s="56"/>
      <c r="J371" s="141"/>
      <c r="K371" s="56"/>
      <c r="L371" s="57"/>
      <c r="M371" s="72"/>
      <c r="N371" s="72"/>
    </row>
    <row r="372" spans="1:14" x14ac:dyDescent="0.3">
      <c r="A372" s="55">
        <v>46357</v>
      </c>
      <c r="B372" s="56">
        <f t="shared" si="34"/>
        <v>12</v>
      </c>
      <c r="C372" s="56">
        <f t="shared" ref="C372:C435" si="35">WEEKNUM(A372)</f>
        <v>49</v>
      </c>
      <c r="D372" s="56"/>
      <c r="E372" s="56" t="e">
        <f>VLOOKUP(D372,姓名檔!$A$2:$G$159,4,0)</f>
        <v>#N/A</v>
      </c>
      <c r="F372" s="56" t="s">
        <v>15</v>
      </c>
      <c r="G372" s="56" t="str">
        <f>VLOOKUP(F372,姓名檔!$H$3:$I$18,2)</f>
        <v>主日奉獻</v>
      </c>
      <c r="H372" s="56" t="e">
        <f>VLOOKUP(D372,姓名檔!$A$2:G$159,5,0)</f>
        <v>#N/A</v>
      </c>
      <c r="I372" s="56"/>
      <c r="J372" s="141"/>
      <c r="K372" s="56"/>
      <c r="L372" s="57"/>
      <c r="M372" s="72"/>
      <c r="N372" s="72"/>
    </row>
    <row r="373" spans="1:14" x14ac:dyDescent="0.3">
      <c r="A373" s="55">
        <v>46357</v>
      </c>
      <c r="B373" s="56">
        <f t="shared" ref="B373:B436" si="36">MONTH(A373)</f>
        <v>12</v>
      </c>
      <c r="C373" s="56">
        <f t="shared" si="35"/>
        <v>49</v>
      </c>
      <c r="D373" s="56"/>
      <c r="E373" s="56" t="e">
        <f>VLOOKUP(D373,姓名檔!$A$2:$G$159,4,0)</f>
        <v>#N/A</v>
      </c>
      <c r="F373" s="56" t="s">
        <v>15</v>
      </c>
      <c r="G373" s="56" t="str">
        <f>VLOOKUP(F373,姓名檔!$H$3:$I$18,2)</f>
        <v>主日奉獻</v>
      </c>
      <c r="H373" s="56" t="e">
        <f>VLOOKUP(D373,姓名檔!$A$2:G$159,5,0)</f>
        <v>#N/A</v>
      </c>
      <c r="I373" s="56"/>
      <c r="J373" s="141"/>
      <c r="K373" s="56"/>
      <c r="L373" s="57"/>
      <c r="M373" s="72"/>
      <c r="N373" s="72"/>
    </row>
    <row r="374" spans="1:14" x14ac:dyDescent="0.3">
      <c r="A374" s="55">
        <v>46357</v>
      </c>
      <c r="B374" s="56">
        <f t="shared" si="36"/>
        <v>12</v>
      </c>
      <c r="C374" s="56">
        <f t="shared" si="35"/>
        <v>49</v>
      </c>
      <c r="D374" s="56"/>
      <c r="E374" s="56" t="e">
        <f>VLOOKUP(D374,姓名檔!$A$2:$G$159,4,0)</f>
        <v>#N/A</v>
      </c>
      <c r="F374" s="56" t="s">
        <v>15</v>
      </c>
      <c r="G374" s="56" t="str">
        <f>VLOOKUP(F374,姓名檔!$H$3:$I$18,2)</f>
        <v>主日奉獻</v>
      </c>
      <c r="H374" s="56" t="e">
        <f>VLOOKUP(D374,姓名檔!$A$2:G$159,5,0)</f>
        <v>#N/A</v>
      </c>
      <c r="I374" s="56"/>
      <c r="J374" s="141"/>
      <c r="K374" s="56"/>
      <c r="L374" s="57"/>
      <c r="M374" s="72"/>
      <c r="N374" s="72"/>
    </row>
    <row r="375" spans="1:14" x14ac:dyDescent="0.3">
      <c r="A375" s="55">
        <v>46357</v>
      </c>
      <c r="B375" s="56">
        <f t="shared" si="36"/>
        <v>12</v>
      </c>
      <c r="C375" s="56">
        <f t="shared" si="35"/>
        <v>49</v>
      </c>
      <c r="D375" s="56"/>
      <c r="E375" s="56" t="e">
        <f>VLOOKUP(D375,姓名檔!$A$2:$G$159,4,0)</f>
        <v>#N/A</v>
      </c>
      <c r="F375" s="56" t="s">
        <v>15</v>
      </c>
      <c r="G375" s="56" t="str">
        <f>VLOOKUP(F375,姓名檔!$H$3:$I$18,2)</f>
        <v>主日奉獻</v>
      </c>
      <c r="H375" s="56" t="e">
        <f>VLOOKUP(D375,姓名檔!$A$2:G$159,5,0)</f>
        <v>#N/A</v>
      </c>
      <c r="I375" s="56"/>
      <c r="J375" s="141"/>
      <c r="K375" s="56"/>
      <c r="L375" s="57"/>
      <c r="M375" s="72"/>
      <c r="N375" s="72"/>
    </row>
    <row r="376" spans="1:14" x14ac:dyDescent="0.3">
      <c r="A376" s="55">
        <v>46299</v>
      </c>
      <c r="B376" s="56">
        <f t="shared" si="36"/>
        <v>10</v>
      </c>
      <c r="C376" s="56">
        <f t="shared" si="35"/>
        <v>41</v>
      </c>
      <c r="D376" s="56"/>
      <c r="E376" s="56" t="e">
        <f>VLOOKUP(D376,姓名檔!$A$2:$G$159,4,0)</f>
        <v>#N/A</v>
      </c>
      <c r="F376" s="56" t="s">
        <v>15</v>
      </c>
      <c r="G376" s="56" t="str">
        <f>VLOOKUP(F376,姓名檔!$H$3:$I$18,2)</f>
        <v>主日奉獻</v>
      </c>
      <c r="H376" s="56" t="e">
        <f>VLOOKUP(D376,姓名檔!$A$2:G$159,5,0)</f>
        <v>#N/A</v>
      </c>
      <c r="I376" s="56"/>
      <c r="J376" s="141"/>
      <c r="K376" s="56"/>
      <c r="L376" s="57"/>
      <c r="M376" s="72"/>
      <c r="N376" s="72"/>
    </row>
    <row r="377" spans="1:14" x14ac:dyDescent="0.3">
      <c r="A377" s="55">
        <v>46299</v>
      </c>
      <c r="B377" s="56">
        <f t="shared" si="36"/>
        <v>10</v>
      </c>
      <c r="C377" s="56">
        <f t="shared" si="35"/>
        <v>41</v>
      </c>
      <c r="D377" s="56"/>
      <c r="E377" s="56" t="e">
        <f>VLOOKUP(D377,姓名檔!$A$2:$G$159,4,0)</f>
        <v>#N/A</v>
      </c>
      <c r="F377" s="56" t="s">
        <v>15</v>
      </c>
      <c r="G377" s="56" t="str">
        <f>VLOOKUP(F377,姓名檔!$H$3:$I$18,2)</f>
        <v>主日奉獻</v>
      </c>
      <c r="H377" s="56" t="e">
        <f>VLOOKUP(D377,姓名檔!$A$2:G$159,5,0)</f>
        <v>#N/A</v>
      </c>
      <c r="I377" s="56"/>
      <c r="J377" s="141"/>
      <c r="K377" s="56"/>
      <c r="L377" s="57"/>
      <c r="M377" s="72"/>
      <c r="N377" s="72"/>
    </row>
    <row r="378" spans="1:14" x14ac:dyDescent="0.3">
      <c r="A378" s="55">
        <v>46299</v>
      </c>
      <c r="B378" s="56">
        <f t="shared" si="36"/>
        <v>10</v>
      </c>
      <c r="C378" s="56">
        <f t="shared" si="35"/>
        <v>41</v>
      </c>
      <c r="D378" s="56"/>
      <c r="E378" s="56" t="e">
        <f>VLOOKUP(D378,姓名檔!$A$2:$G$159,4,0)</f>
        <v>#N/A</v>
      </c>
      <c r="F378" s="56" t="s">
        <v>15</v>
      </c>
      <c r="G378" s="56" t="str">
        <f>VLOOKUP(F378,姓名檔!$H$3:$I$18,2)</f>
        <v>主日奉獻</v>
      </c>
      <c r="H378" s="56" t="e">
        <f>VLOOKUP(D378,姓名檔!$A$2:G$159,5,0)</f>
        <v>#N/A</v>
      </c>
      <c r="I378" s="56"/>
      <c r="J378" s="141"/>
      <c r="K378" s="56"/>
      <c r="L378" s="57"/>
      <c r="M378" s="72"/>
      <c r="N378" s="72"/>
    </row>
    <row r="379" spans="1:14" x14ac:dyDescent="0.3">
      <c r="A379" s="55">
        <v>46299</v>
      </c>
      <c r="B379" s="56">
        <f t="shared" si="36"/>
        <v>10</v>
      </c>
      <c r="C379" s="56">
        <f t="shared" si="35"/>
        <v>41</v>
      </c>
      <c r="D379" s="56"/>
      <c r="E379" s="56" t="e">
        <f>VLOOKUP(D379,姓名檔!$A$2:$G$159,4,0)</f>
        <v>#N/A</v>
      </c>
      <c r="F379" s="56" t="s">
        <v>15</v>
      </c>
      <c r="G379" s="56" t="str">
        <f>VLOOKUP(F379,姓名檔!$H$3:$I$18,2)</f>
        <v>主日奉獻</v>
      </c>
      <c r="H379" s="56" t="e">
        <f>VLOOKUP(D379,姓名檔!$A$2:G$159,5,0)</f>
        <v>#N/A</v>
      </c>
      <c r="I379" s="56"/>
      <c r="J379" s="141"/>
      <c r="K379" s="56"/>
      <c r="L379" s="57"/>
      <c r="M379" s="72"/>
      <c r="N379" s="72"/>
    </row>
    <row r="380" spans="1:14" x14ac:dyDescent="0.3">
      <c r="A380" s="55">
        <v>46299</v>
      </c>
      <c r="B380" s="56">
        <f t="shared" si="36"/>
        <v>10</v>
      </c>
      <c r="C380" s="56">
        <f t="shared" si="35"/>
        <v>41</v>
      </c>
      <c r="D380" s="56"/>
      <c r="E380" s="56" t="e">
        <f>VLOOKUP(D380,姓名檔!$A$2:$G$159,4,0)</f>
        <v>#N/A</v>
      </c>
      <c r="F380" s="56" t="s">
        <v>15</v>
      </c>
      <c r="G380" s="56" t="str">
        <f>VLOOKUP(F380,姓名檔!$H$3:$I$18,2)</f>
        <v>主日奉獻</v>
      </c>
      <c r="H380" s="56" t="e">
        <f>VLOOKUP(D380,姓名檔!$A$2:G$159,5,0)</f>
        <v>#N/A</v>
      </c>
      <c r="I380" s="56"/>
      <c r="J380" s="141"/>
      <c r="K380" s="56"/>
      <c r="L380" s="57"/>
      <c r="M380" s="72"/>
      <c r="N380" s="72"/>
    </row>
    <row r="381" spans="1:14" x14ac:dyDescent="0.3">
      <c r="A381" s="55">
        <v>46299</v>
      </c>
      <c r="B381" s="56">
        <f t="shared" si="36"/>
        <v>10</v>
      </c>
      <c r="C381" s="56">
        <f t="shared" si="35"/>
        <v>41</v>
      </c>
      <c r="D381" s="56"/>
      <c r="E381" s="56" t="e">
        <f>VLOOKUP(D381,姓名檔!$A$2:$G$159,4,0)</f>
        <v>#N/A</v>
      </c>
      <c r="F381" s="56" t="s">
        <v>15</v>
      </c>
      <c r="G381" s="56" t="str">
        <f>VLOOKUP(F381,姓名檔!$H$3:$I$18,2)</f>
        <v>主日奉獻</v>
      </c>
      <c r="H381" s="56" t="e">
        <f>VLOOKUP(D381,姓名檔!$A$2:G$159,5,0)</f>
        <v>#N/A</v>
      </c>
      <c r="I381" s="56"/>
      <c r="J381" s="141"/>
      <c r="K381" s="56"/>
      <c r="L381" s="57"/>
      <c r="M381" s="72"/>
      <c r="N381" s="72"/>
    </row>
    <row r="382" spans="1:14" x14ac:dyDescent="0.3">
      <c r="A382" s="55">
        <v>46299</v>
      </c>
      <c r="B382" s="56">
        <f t="shared" si="36"/>
        <v>10</v>
      </c>
      <c r="C382" s="56">
        <f t="shared" si="35"/>
        <v>41</v>
      </c>
      <c r="D382" s="56"/>
      <c r="E382" s="56" t="e">
        <f>VLOOKUP(D382,姓名檔!$A$2:$G$159,4,0)</f>
        <v>#N/A</v>
      </c>
      <c r="F382" s="56" t="s">
        <v>15</v>
      </c>
      <c r="G382" s="56" t="str">
        <f>VLOOKUP(F382,姓名檔!$H$3:$I$18,2)</f>
        <v>主日奉獻</v>
      </c>
      <c r="H382" s="56" t="e">
        <f>VLOOKUP(D382,姓名檔!$A$2:G$159,5,0)</f>
        <v>#N/A</v>
      </c>
      <c r="I382" s="56"/>
      <c r="J382" s="141"/>
      <c r="K382" s="56"/>
      <c r="L382" s="57"/>
      <c r="M382" s="72"/>
      <c r="N382" s="72"/>
    </row>
    <row r="383" spans="1:14" x14ac:dyDescent="0.3">
      <c r="A383" s="55">
        <v>46299</v>
      </c>
      <c r="B383" s="56">
        <f t="shared" si="36"/>
        <v>10</v>
      </c>
      <c r="C383" s="56">
        <f t="shared" si="35"/>
        <v>41</v>
      </c>
      <c r="D383" s="56"/>
      <c r="E383" s="56" t="e">
        <f>VLOOKUP(D383,姓名檔!$A$2:$G$159,4,0)</f>
        <v>#N/A</v>
      </c>
      <c r="F383" s="56" t="s">
        <v>15</v>
      </c>
      <c r="G383" s="56" t="str">
        <f>VLOOKUP(F383,姓名檔!$H$3:$I$18,2)</f>
        <v>主日奉獻</v>
      </c>
      <c r="H383" s="56" t="e">
        <f>VLOOKUP(D383,姓名檔!$A$2:G$159,5,0)</f>
        <v>#N/A</v>
      </c>
      <c r="I383" s="56"/>
      <c r="J383" s="141"/>
      <c r="K383" s="56"/>
      <c r="L383" s="57"/>
      <c r="M383" s="72"/>
      <c r="N383" s="72"/>
    </row>
    <row r="384" spans="1:14" x14ac:dyDescent="0.3">
      <c r="A384" s="55">
        <v>46299</v>
      </c>
      <c r="B384" s="56">
        <f t="shared" si="36"/>
        <v>10</v>
      </c>
      <c r="C384" s="56">
        <f t="shared" si="35"/>
        <v>41</v>
      </c>
      <c r="D384" s="56"/>
      <c r="E384" s="56" t="e">
        <f>VLOOKUP(D384,姓名檔!$A$2:$G$159,4,0)</f>
        <v>#N/A</v>
      </c>
      <c r="F384" s="56" t="s">
        <v>15</v>
      </c>
      <c r="G384" s="56" t="str">
        <f>VLOOKUP(F384,姓名檔!$H$3:$I$18,2)</f>
        <v>主日奉獻</v>
      </c>
      <c r="H384" s="56" t="e">
        <f>VLOOKUP(D384,姓名檔!$A$2:G$159,5,0)</f>
        <v>#N/A</v>
      </c>
      <c r="I384" s="56"/>
      <c r="J384" s="141"/>
      <c r="K384" s="56"/>
      <c r="L384" s="57"/>
      <c r="M384" s="72"/>
      <c r="N384" s="72"/>
    </row>
    <row r="385" spans="1:14" x14ac:dyDescent="0.3">
      <c r="A385" s="55">
        <v>46299</v>
      </c>
      <c r="B385" s="56">
        <f t="shared" si="36"/>
        <v>10</v>
      </c>
      <c r="C385" s="56">
        <f t="shared" si="35"/>
        <v>41</v>
      </c>
      <c r="D385" s="56"/>
      <c r="E385" s="56" t="e">
        <f>VLOOKUP(D385,姓名檔!$A$2:$G$159,4,0)</f>
        <v>#N/A</v>
      </c>
      <c r="F385" s="56" t="s">
        <v>15</v>
      </c>
      <c r="G385" s="56" t="str">
        <f>VLOOKUP(F385,姓名檔!$H$3:$I$18,2)</f>
        <v>主日奉獻</v>
      </c>
      <c r="H385" s="56" t="e">
        <f>VLOOKUP(D385,姓名檔!$A$2:G$159,5,0)</f>
        <v>#N/A</v>
      </c>
      <c r="I385" s="56"/>
      <c r="J385" s="141"/>
      <c r="K385" s="56"/>
      <c r="L385" s="57"/>
      <c r="M385" s="72"/>
      <c r="N385" s="72"/>
    </row>
    <row r="386" spans="1:14" x14ac:dyDescent="0.3">
      <c r="A386" s="55">
        <v>46299</v>
      </c>
      <c r="B386" s="56">
        <f t="shared" si="36"/>
        <v>10</v>
      </c>
      <c r="C386" s="56">
        <f t="shared" si="35"/>
        <v>41</v>
      </c>
      <c r="D386" s="56"/>
      <c r="E386" s="56" t="e">
        <f>VLOOKUP(D386,姓名檔!$A$2:$G$159,4,0)</f>
        <v>#N/A</v>
      </c>
      <c r="F386" s="56" t="s">
        <v>15</v>
      </c>
      <c r="G386" s="56" t="str">
        <f>VLOOKUP(F386,姓名檔!$H$3:$I$18,2)</f>
        <v>主日奉獻</v>
      </c>
      <c r="H386" s="56" t="e">
        <f>VLOOKUP(D386,姓名檔!$A$2:G$159,5,0)</f>
        <v>#N/A</v>
      </c>
      <c r="I386" s="56"/>
      <c r="J386" s="141"/>
      <c r="K386" s="56"/>
      <c r="L386" s="57"/>
      <c r="M386" s="72"/>
      <c r="N386" s="72"/>
    </row>
    <row r="387" spans="1:14" x14ac:dyDescent="0.3">
      <c r="A387" s="55">
        <v>46299</v>
      </c>
      <c r="B387" s="56">
        <f t="shared" si="36"/>
        <v>10</v>
      </c>
      <c r="C387" s="56">
        <f t="shared" si="35"/>
        <v>41</v>
      </c>
      <c r="D387" s="56"/>
      <c r="E387" s="56" t="e">
        <f>VLOOKUP(D387,姓名檔!$A$2:$G$159,4,0)</f>
        <v>#N/A</v>
      </c>
      <c r="F387" s="56" t="s">
        <v>15</v>
      </c>
      <c r="G387" s="56" t="str">
        <f>VLOOKUP(F387,姓名檔!$H$3:$I$18,2)</f>
        <v>主日奉獻</v>
      </c>
      <c r="H387" s="56" t="e">
        <f>VLOOKUP(D387,姓名檔!$A$2:G$159,5,0)</f>
        <v>#N/A</v>
      </c>
      <c r="I387" s="56"/>
      <c r="J387" s="141"/>
      <c r="K387" s="56"/>
      <c r="L387" s="57"/>
      <c r="M387" s="72"/>
      <c r="N387" s="72"/>
    </row>
    <row r="388" spans="1:14" x14ac:dyDescent="0.3">
      <c r="A388" s="55">
        <v>46299</v>
      </c>
      <c r="B388" s="56">
        <f t="shared" si="36"/>
        <v>10</v>
      </c>
      <c r="C388" s="56">
        <f t="shared" si="35"/>
        <v>41</v>
      </c>
      <c r="D388" s="56"/>
      <c r="E388" s="56" t="e">
        <f>VLOOKUP(D388,姓名檔!$A$2:$G$159,4,0)</f>
        <v>#N/A</v>
      </c>
      <c r="F388" s="56" t="s">
        <v>15</v>
      </c>
      <c r="G388" s="56" t="str">
        <f>VLOOKUP(F388,姓名檔!$H$3:$I$18,2)</f>
        <v>主日奉獻</v>
      </c>
      <c r="H388" s="56" t="e">
        <f>VLOOKUP(D388,姓名檔!$A$2:G$159,5,0)</f>
        <v>#N/A</v>
      </c>
      <c r="I388" s="56"/>
      <c r="J388" s="141"/>
      <c r="K388" s="56"/>
      <c r="L388" s="57"/>
      <c r="M388" s="72"/>
      <c r="N388" s="72"/>
    </row>
    <row r="389" spans="1:14" x14ac:dyDescent="0.3">
      <c r="A389" s="55">
        <v>46299</v>
      </c>
      <c r="B389" s="56">
        <f t="shared" si="36"/>
        <v>10</v>
      </c>
      <c r="C389" s="56">
        <f t="shared" si="35"/>
        <v>41</v>
      </c>
      <c r="D389" s="56"/>
      <c r="E389" s="56" t="e">
        <f>VLOOKUP(D389,姓名檔!$A$2:$G$159,4,0)</f>
        <v>#N/A</v>
      </c>
      <c r="F389" s="56" t="s">
        <v>15</v>
      </c>
      <c r="G389" s="56" t="str">
        <f>VLOOKUP(F389,姓名檔!$H$3:$I$18,2)</f>
        <v>主日奉獻</v>
      </c>
      <c r="H389" s="56" t="e">
        <f>VLOOKUP(D389,姓名檔!$A$2:G$159,5,0)</f>
        <v>#N/A</v>
      </c>
      <c r="I389" s="56"/>
      <c r="J389" s="141"/>
      <c r="K389" s="56"/>
      <c r="L389" s="57"/>
      <c r="M389" s="72"/>
      <c r="N389" s="72"/>
    </row>
    <row r="390" spans="1:14" x14ac:dyDescent="0.3">
      <c r="A390" s="55">
        <v>46299</v>
      </c>
      <c r="B390" s="56">
        <f t="shared" si="36"/>
        <v>10</v>
      </c>
      <c r="C390" s="56">
        <f t="shared" si="35"/>
        <v>41</v>
      </c>
      <c r="D390" s="56"/>
      <c r="E390" s="56" t="e">
        <f>VLOOKUP(D390,姓名檔!$A$2:$G$159,4,0)</f>
        <v>#N/A</v>
      </c>
      <c r="F390" s="56" t="s">
        <v>15</v>
      </c>
      <c r="G390" s="56" t="str">
        <f>VLOOKUP(F390,姓名檔!$H$3:$I$18,2)</f>
        <v>主日奉獻</v>
      </c>
      <c r="H390" s="56" t="e">
        <f>VLOOKUP(D390,姓名檔!$A$2:G$159,5,0)</f>
        <v>#N/A</v>
      </c>
      <c r="I390" s="56"/>
      <c r="J390" s="141"/>
      <c r="K390" s="56"/>
      <c r="L390" s="57"/>
      <c r="M390" s="72"/>
      <c r="N390" s="72"/>
    </row>
    <row r="391" spans="1:14" x14ac:dyDescent="0.3">
      <c r="A391" s="55">
        <v>46299</v>
      </c>
      <c r="B391" s="56">
        <f t="shared" si="36"/>
        <v>10</v>
      </c>
      <c r="C391" s="56">
        <f t="shared" si="35"/>
        <v>41</v>
      </c>
      <c r="D391" s="56"/>
      <c r="E391" s="56" t="e">
        <f>VLOOKUP(D391,姓名檔!$A$2:$G$159,4,0)</f>
        <v>#N/A</v>
      </c>
      <c r="F391" s="56" t="s">
        <v>15</v>
      </c>
      <c r="G391" s="56" t="str">
        <f>VLOOKUP(F391,姓名檔!$H$3:$I$18,2)</f>
        <v>主日奉獻</v>
      </c>
      <c r="H391" s="56" t="e">
        <f>VLOOKUP(D391,姓名檔!$A$2:G$159,5,0)</f>
        <v>#N/A</v>
      </c>
      <c r="I391" s="56"/>
      <c r="J391" s="141"/>
      <c r="K391" s="56"/>
      <c r="L391" s="57"/>
      <c r="M391" s="72"/>
      <c r="N391" s="72"/>
    </row>
    <row r="392" spans="1:14" x14ac:dyDescent="0.3">
      <c r="A392" s="55">
        <v>46299</v>
      </c>
      <c r="B392" s="56">
        <f t="shared" si="36"/>
        <v>10</v>
      </c>
      <c r="C392" s="56">
        <f t="shared" si="35"/>
        <v>41</v>
      </c>
      <c r="D392" s="56"/>
      <c r="E392" s="56" t="e">
        <f>VLOOKUP(D392,姓名檔!$A$2:$G$159,4,0)</f>
        <v>#N/A</v>
      </c>
      <c r="F392" s="56" t="s">
        <v>15</v>
      </c>
      <c r="G392" s="56" t="str">
        <f>VLOOKUP(F392,姓名檔!$H$3:$I$18,2)</f>
        <v>主日奉獻</v>
      </c>
      <c r="H392" s="56" t="e">
        <f>VLOOKUP(D392,姓名檔!$A$2:G$159,5,0)</f>
        <v>#N/A</v>
      </c>
      <c r="I392" s="56"/>
      <c r="J392" s="141"/>
      <c r="K392" s="56"/>
      <c r="L392" s="57"/>
      <c r="M392" s="72"/>
      <c r="N392" s="72"/>
    </row>
    <row r="393" spans="1:14" x14ac:dyDescent="0.3">
      <c r="A393" s="55">
        <v>46299</v>
      </c>
      <c r="B393" s="56">
        <f t="shared" si="36"/>
        <v>10</v>
      </c>
      <c r="C393" s="56">
        <f t="shared" si="35"/>
        <v>41</v>
      </c>
      <c r="D393" s="56"/>
      <c r="E393" s="56" t="e">
        <f>VLOOKUP(D393,姓名檔!$A$2:$G$159,4,0)</f>
        <v>#N/A</v>
      </c>
      <c r="F393" s="56" t="s">
        <v>15</v>
      </c>
      <c r="G393" s="56" t="str">
        <f>VLOOKUP(F393,姓名檔!$H$3:$I$18,2)</f>
        <v>主日奉獻</v>
      </c>
      <c r="H393" s="56" t="e">
        <f>VLOOKUP(D393,姓名檔!$A$2:G$159,5,0)</f>
        <v>#N/A</v>
      </c>
      <c r="I393" s="56"/>
      <c r="J393" s="141"/>
      <c r="K393" s="56"/>
      <c r="L393" s="57"/>
    </row>
    <row r="394" spans="1:14" x14ac:dyDescent="0.3">
      <c r="A394" s="55">
        <v>46299</v>
      </c>
      <c r="B394" s="56">
        <f t="shared" si="36"/>
        <v>10</v>
      </c>
      <c r="C394" s="56">
        <f t="shared" si="35"/>
        <v>41</v>
      </c>
      <c r="D394" s="56"/>
      <c r="E394" s="56" t="e">
        <f>VLOOKUP(D394,姓名檔!$A$2:$G$159,4,0)</f>
        <v>#N/A</v>
      </c>
      <c r="F394" s="56" t="s">
        <v>15</v>
      </c>
      <c r="G394" s="56" t="str">
        <f>VLOOKUP(F394,姓名檔!$H$3:$I$18,2)</f>
        <v>主日奉獻</v>
      </c>
      <c r="H394" s="56" t="e">
        <f>VLOOKUP(D394,姓名檔!$A$2:G$159,5,0)</f>
        <v>#N/A</v>
      </c>
      <c r="I394" s="56"/>
      <c r="J394" s="141"/>
      <c r="K394" s="56"/>
      <c r="L394" s="57"/>
    </row>
    <row r="395" spans="1:14" x14ac:dyDescent="0.3">
      <c r="A395" s="55">
        <v>46299</v>
      </c>
      <c r="B395" s="56">
        <f t="shared" si="36"/>
        <v>10</v>
      </c>
      <c r="C395" s="56">
        <f t="shared" si="35"/>
        <v>41</v>
      </c>
      <c r="D395" s="56"/>
      <c r="E395" s="56" t="e">
        <f>VLOOKUP(D395,姓名檔!$A$2:$G$159,4,0)</f>
        <v>#N/A</v>
      </c>
      <c r="F395" s="56" t="s">
        <v>15</v>
      </c>
      <c r="G395" s="56" t="str">
        <f>VLOOKUP(F395,姓名檔!$H$3:$I$18,2)</f>
        <v>主日奉獻</v>
      </c>
      <c r="H395" s="56" t="e">
        <f>VLOOKUP(D395,姓名檔!$A$2:G$159,5,0)</f>
        <v>#N/A</v>
      </c>
      <c r="I395" s="56"/>
      <c r="J395" s="141"/>
      <c r="K395" s="56"/>
      <c r="L395" s="57"/>
    </row>
    <row r="396" spans="1:14" x14ac:dyDescent="0.3">
      <c r="A396" s="55">
        <v>46299</v>
      </c>
      <c r="B396" s="56">
        <f t="shared" si="36"/>
        <v>10</v>
      </c>
      <c r="C396" s="56">
        <f t="shared" si="35"/>
        <v>41</v>
      </c>
      <c r="D396" s="56"/>
      <c r="E396" s="56" t="e">
        <f>VLOOKUP(D396,姓名檔!$A$2:$G$159,4,0)</f>
        <v>#N/A</v>
      </c>
      <c r="F396" s="56" t="s">
        <v>15</v>
      </c>
      <c r="G396" s="56" t="str">
        <f>VLOOKUP(F396,姓名檔!$H$3:$I$18,2)</f>
        <v>主日奉獻</v>
      </c>
      <c r="H396" s="56" t="e">
        <f>VLOOKUP(D396,姓名檔!$A$2:G$159,5,0)</f>
        <v>#N/A</v>
      </c>
      <c r="I396" s="56"/>
      <c r="J396" s="141"/>
      <c r="K396" s="56"/>
      <c r="L396" s="57"/>
    </row>
    <row r="397" spans="1:14" x14ac:dyDescent="0.3">
      <c r="A397" s="55">
        <v>46299</v>
      </c>
      <c r="B397" s="56">
        <f t="shared" si="36"/>
        <v>10</v>
      </c>
      <c r="C397" s="56">
        <f t="shared" si="35"/>
        <v>41</v>
      </c>
      <c r="D397" s="56"/>
      <c r="E397" s="56" t="e">
        <f>VLOOKUP(D397,姓名檔!$A$2:$G$159,4,0)</f>
        <v>#N/A</v>
      </c>
      <c r="F397" s="56" t="s">
        <v>15</v>
      </c>
      <c r="G397" s="56" t="str">
        <f>VLOOKUP(F397,姓名檔!$H$3:$I$18,2)</f>
        <v>主日奉獻</v>
      </c>
      <c r="H397" s="56" t="e">
        <f>VLOOKUP(D397,姓名檔!$A$2:G$159,5,0)</f>
        <v>#N/A</v>
      </c>
      <c r="I397" s="56"/>
      <c r="J397" s="141"/>
      <c r="K397" s="56"/>
      <c r="L397" s="57"/>
    </row>
    <row r="398" spans="1:14" x14ac:dyDescent="0.3">
      <c r="A398" s="55">
        <v>46299</v>
      </c>
      <c r="B398" s="56">
        <f t="shared" si="36"/>
        <v>10</v>
      </c>
      <c r="C398" s="56">
        <f t="shared" si="35"/>
        <v>41</v>
      </c>
      <c r="D398" s="56"/>
      <c r="E398" s="56" t="e">
        <f>VLOOKUP(D398,姓名檔!$A$2:$G$159,4,0)</f>
        <v>#N/A</v>
      </c>
      <c r="F398" s="56" t="s">
        <v>15</v>
      </c>
      <c r="G398" s="56" t="str">
        <f>VLOOKUP(F398,姓名檔!$H$3:$I$18,2)</f>
        <v>主日奉獻</v>
      </c>
      <c r="H398" s="56" t="e">
        <f>VLOOKUP(D398,姓名檔!$A$2:G$159,5,0)</f>
        <v>#N/A</v>
      </c>
      <c r="I398" s="56"/>
      <c r="J398" s="141"/>
      <c r="K398" s="56"/>
      <c r="L398" s="57"/>
    </row>
    <row r="399" spans="1:14" x14ac:dyDescent="0.3">
      <c r="A399" s="55">
        <v>46299</v>
      </c>
      <c r="B399" s="56">
        <f t="shared" si="36"/>
        <v>10</v>
      </c>
      <c r="C399" s="56">
        <f t="shared" si="35"/>
        <v>41</v>
      </c>
      <c r="D399" s="56"/>
      <c r="E399" s="56" t="e">
        <f>VLOOKUP(D399,姓名檔!$A$2:$G$159,4,0)</f>
        <v>#N/A</v>
      </c>
      <c r="F399" s="56" t="s">
        <v>15</v>
      </c>
      <c r="G399" s="56" t="str">
        <f>VLOOKUP(F399,姓名檔!$H$3:$I$18,2)</f>
        <v>主日奉獻</v>
      </c>
      <c r="H399" s="56" t="e">
        <f>VLOOKUP(D399,姓名檔!$A$2:G$159,5,0)</f>
        <v>#N/A</v>
      </c>
      <c r="I399" s="56"/>
      <c r="J399" s="141"/>
      <c r="K399" s="56"/>
      <c r="L399" s="57"/>
    </row>
    <row r="400" spans="1:14" x14ac:dyDescent="0.3">
      <c r="A400" s="55">
        <v>46299</v>
      </c>
      <c r="B400" s="56">
        <f t="shared" si="36"/>
        <v>10</v>
      </c>
      <c r="C400" s="56">
        <f t="shared" si="35"/>
        <v>41</v>
      </c>
      <c r="D400" s="56"/>
      <c r="E400" s="56" t="e">
        <f>VLOOKUP(D400,姓名檔!$A$2:$G$159,4,0)</f>
        <v>#N/A</v>
      </c>
      <c r="F400" s="56" t="s">
        <v>15</v>
      </c>
      <c r="G400" s="56" t="str">
        <f>VLOOKUP(F400,姓名檔!$H$3:$I$18,2)</f>
        <v>主日奉獻</v>
      </c>
      <c r="H400" s="56" t="e">
        <f>VLOOKUP(D400,姓名檔!$A$2:G$159,5,0)</f>
        <v>#N/A</v>
      </c>
      <c r="I400" s="56"/>
      <c r="J400" s="141"/>
      <c r="K400" s="56"/>
      <c r="L400" s="57"/>
    </row>
    <row r="401" spans="1:14" x14ac:dyDescent="0.3">
      <c r="A401" s="55">
        <v>46299</v>
      </c>
      <c r="B401" s="56">
        <f t="shared" si="36"/>
        <v>10</v>
      </c>
      <c r="C401" s="56">
        <f t="shared" si="35"/>
        <v>41</v>
      </c>
      <c r="D401" s="56"/>
      <c r="E401" s="56" t="e">
        <f>VLOOKUP(D401,姓名檔!$A$2:$G$159,4,0)</f>
        <v>#N/A</v>
      </c>
      <c r="F401" s="56" t="s">
        <v>15</v>
      </c>
      <c r="G401" s="56" t="str">
        <f>VLOOKUP(F401,姓名檔!$H$3:$I$18,2)</f>
        <v>主日奉獻</v>
      </c>
      <c r="H401" s="56" t="e">
        <f>VLOOKUP(D401,姓名檔!$A$2:G$159,5,0)</f>
        <v>#N/A</v>
      </c>
      <c r="I401" s="56"/>
      <c r="J401" s="141"/>
      <c r="K401" s="56"/>
      <c r="L401" s="57"/>
    </row>
    <row r="402" spans="1:14" x14ac:dyDescent="0.3">
      <c r="A402" s="55">
        <v>46299</v>
      </c>
      <c r="B402" s="56">
        <f t="shared" si="36"/>
        <v>10</v>
      </c>
      <c r="C402" s="56">
        <f t="shared" si="35"/>
        <v>41</v>
      </c>
      <c r="D402" s="56"/>
      <c r="E402" s="56" t="e">
        <f>VLOOKUP(D402,姓名檔!$A$2:$G$159,4,0)</f>
        <v>#N/A</v>
      </c>
      <c r="F402" s="56" t="s">
        <v>15</v>
      </c>
      <c r="G402" s="56" t="str">
        <f>VLOOKUP(F402,姓名檔!$H$3:$I$18,2)</f>
        <v>主日奉獻</v>
      </c>
      <c r="H402" s="56" t="e">
        <f>VLOOKUP(D402,姓名檔!$A$2:G$159,5,0)</f>
        <v>#N/A</v>
      </c>
      <c r="I402" s="56"/>
      <c r="J402" s="141"/>
      <c r="K402" s="56"/>
      <c r="L402" s="57"/>
    </row>
    <row r="403" spans="1:14" x14ac:dyDescent="0.3">
      <c r="A403" s="55">
        <v>46299</v>
      </c>
      <c r="B403" s="56">
        <f t="shared" si="36"/>
        <v>10</v>
      </c>
      <c r="C403" s="56">
        <f t="shared" si="35"/>
        <v>41</v>
      </c>
      <c r="D403" s="56"/>
      <c r="E403" s="56" t="e">
        <f>VLOOKUP(D403,姓名檔!$A$2:$G$159,4,0)</f>
        <v>#N/A</v>
      </c>
      <c r="F403" s="56" t="s">
        <v>15</v>
      </c>
      <c r="G403" s="56" t="str">
        <f>VLOOKUP(F403,姓名檔!$H$3:$I$18,2)</f>
        <v>主日奉獻</v>
      </c>
      <c r="H403" s="56" t="e">
        <f>VLOOKUP(D403,姓名檔!$A$2:G$159,5,0)</f>
        <v>#N/A</v>
      </c>
      <c r="I403" s="56"/>
      <c r="J403" s="141"/>
      <c r="K403" s="56"/>
      <c r="L403" s="57"/>
    </row>
    <row r="404" spans="1:14" x14ac:dyDescent="0.3">
      <c r="A404" s="55">
        <v>46299</v>
      </c>
      <c r="B404" s="56">
        <f t="shared" si="36"/>
        <v>10</v>
      </c>
      <c r="C404" s="56">
        <f t="shared" si="35"/>
        <v>41</v>
      </c>
      <c r="D404" s="56"/>
      <c r="E404" s="56" t="e">
        <f>VLOOKUP(D404,姓名檔!$A$2:$G$159,4,0)</f>
        <v>#N/A</v>
      </c>
      <c r="F404" s="56" t="s">
        <v>15</v>
      </c>
      <c r="G404" s="56" t="str">
        <f>VLOOKUP(F404,姓名檔!$H$3:$I$18,2)</f>
        <v>主日奉獻</v>
      </c>
      <c r="H404" s="56" t="e">
        <f>VLOOKUP(D404,姓名檔!$A$2:G$159,5,0)</f>
        <v>#N/A</v>
      </c>
      <c r="I404" s="56"/>
      <c r="J404" s="141"/>
      <c r="K404" s="56"/>
      <c r="L404" s="57"/>
    </row>
    <row r="405" spans="1:14" x14ac:dyDescent="0.3">
      <c r="A405" s="55">
        <v>46299</v>
      </c>
      <c r="B405" s="56">
        <f t="shared" si="36"/>
        <v>10</v>
      </c>
      <c r="C405" s="56">
        <f t="shared" si="35"/>
        <v>41</v>
      </c>
      <c r="D405" s="56"/>
      <c r="E405" s="56" t="e">
        <f>VLOOKUP(D405,姓名檔!$A$2:$G$159,4,0)</f>
        <v>#N/A</v>
      </c>
      <c r="F405" s="56" t="s">
        <v>15</v>
      </c>
      <c r="G405" s="56" t="str">
        <f>VLOOKUP(F405,姓名檔!$H$3:$I$18,2)</f>
        <v>主日奉獻</v>
      </c>
      <c r="H405" s="56" t="e">
        <f>VLOOKUP(D405,姓名檔!$A$2:G$159,5,0)</f>
        <v>#N/A</v>
      </c>
      <c r="I405" s="56"/>
      <c r="J405" s="141"/>
      <c r="K405" s="56"/>
      <c r="L405" s="57"/>
    </row>
    <row r="406" spans="1:14" x14ac:dyDescent="0.3">
      <c r="A406" s="55">
        <v>46299</v>
      </c>
      <c r="B406" s="56">
        <f t="shared" si="36"/>
        <v>10</v>
      </c>
      <c r="C406" s="56">
        <f t="shared" si="35"/>
        <v>41</v>
      </c>
      <c r="D406" s="56"/>
      <c r="E406" s="56" t="e">
        <f>VLOOKUP(D406,姓名檔!$A$2:$G$159,4,0)</f>
        <v>#N/A</v>
      </c>
      <c r="F406" s="56" t="s">
        <v>15</v>
      </c>
      <c r="G406" s="56" t="str">
        <f>VLOOKUP(F406,姓名檔!$H$3:$I$18,2)</f>
        <v>主日奉獻</v>
      </c>
      <c r="H406" s="56" t="e">
        <f>VLOOKUP(D406,姓名檔!$A$2:G$159,5,0)</f>
        <v>#N/A</v>
      </c>
      <c r="I406" s="56"/>
      <c r="J406" s="141"/>
      <c r="K406" s="56"/>
      <c r="L406" s="57"/>
      <c r="M406" s="72"/>
      <c r="N406" s="72"/>
    </row>
    <row r="407" spans="1:14" x14ac:dyDescent="0.3">
      <c r="A407" s="55">
        <v>46299</v>
      </c>
      <c r="B407" s="56">
        <f t="shared" si="36"/>
        <v>10</v>
      </c>
      <c r="C407" s="56">
        <f t="shared" si="35"/>
        <v>41</v>
      </c>
      <c r="D407" s="56"/>
      <c r="E407" s="56" t="e">
        <f>VLOOKUP(D407,姓名檔!$A$2:$G$159,4,0)</f>
        <v>#N/A</v>
      </c>
      <c r="F407" s="56" t="s">
        <v>15</v>
      </c>
      <c r="G407" s="56" t="str">
        <f>VLOOKUP(F407,姓名檔!$H$3:$I$18,2)</f>
        <v>主日奉獻</v>
      </c>
      <c r="H407" s="56" t="e">
        <f>VLOOKUP(D407,姓名檔!$A$2:G$159,5,0)</f>
        <v>#N/A</v>
      </c>
      <c r="I407" s="56"/>
      <c r="J407" s="141"/>
      <c r="K407" s="56"/>
      <c r="L407" s="57"/>
      <c r="M407" s="72"/>
      <c r="N407" s="72"/>
    </row>
    <row r="408" spans="1:14" x14ac:dyDescent="0.3">
      <c r="A408" s="55">
        <v>46299</v>
      </c>
      <c r="B408" s="56">
        <f t="shared" si="36"/>
        <v>10</v>
      </c>
      <c r="C408" s="56">
        <f t="shared" si="35"/>
        <v>41</v>
      </c>
      <c r="D408" s="56"/>
      <c r="E408" s="56" t="e">
        <f>VLOOKUP(D408,姓名檔!$A$2:$G$159,4,0)</f>
        <v>#N/A</v>
      </c>
      <c r="F408" s="56" t="s">
        <v>15</v>
      </c>
      <c r="G408" s="56" t="str">
        <f>VLOOKUP(F408,姓名檔!$H$3:$I$18,2)</f>
        <v>主日奉獻</v>
      </c>
      <c r="H408" s="56" t="e">
        <f>VLOOKUP(D408,姓名檔!$A$2:G$159,5,0)</f>
        <v>#N/A</v>
      </c>
      <c r="I408" s="56"/>
      <c r="J408" s="141"/>
      <c r="K408" s="56"/>
      <c r="L408" s="57"/>
      <c r="M408" s="72"/>
      <c r="N408" s="72"/>
    </row>
    <row r="409" spans="1:14" x14ac:dyDescent="0.3">
      <c r="A409" s="55">
        <v>46299</v>
      </c>
      <c r="B409" s="56">
        <f t="shared" si="36"/>
        <v>10</v>
      </c>
      <c r="C409" s="56">
        <f t="shared" si="35"/>
        <v>41</v>
      </c>
      <c r="D409" s="56"/>
      <c r="E409" s="56" t="e">
        <f>VLOOKUP(D409,姓名檔!$A$2:$G$159,4,0)</f>
        <v>#N/A</v>
      </c>
      <c r="F409" s="56" t="s">
        <v>15</v>
      </c>
      <c r="G409" s="56" t="str">
        <f>VLOOKUP(F409,姓名檔!$H$3:$I$18,2)</f>
        <v>主日奉獻</v>
      </c>
      <c r="H409" s="56" t="e">
        <f>VLOOKUP(D409,姓名檔!$A$2:G$159,5,0)</f>
        <v>#N/A</v>
      </c>
      <c r="I409" s="56"/>
      <c r="J409" s="141"/>
      <c r="K409" s="56"/>
      <c r="L409" s="57"/>
      <c r="M409" s="72"/>
      <c r="N409" s="72"/>
    </row>
    <row r="410" spans="1:14" x14ac:dyDescent="0.3">
      <c r="A410" s="55">
        <v>46299</v>
      </c>
      <c r="B410" s="56">
        <f t="shared" si="36"/>
        <v>10</v>
      </c>
      <c r="C410" s="56">
        <f t="shared" si="35"/>
        <v>41</v>
      </c>
      <c r="D410" s="56"/>
      <c r="E410" s="56" t="e">
        <f>VLOOKUP(D410,姓名檔!$A$2:$G$159,4,0)</f>
        <v>#N/A</v>
      </c>
      <c r="F410" s="56" t="s">
        <v>15</v>
      </c>
      <c r="G410" s="56" t="str">
        <f>VLOOKUP(F410,姓名檔!$H$3:$I$18,2)</f>
        <v>主日奉獻</v>
      </c>
      <c r="H410" s="56" t="e">
        <f>VLOOKUP(D410,姓名檔!$A$2:G$159,5,0)</f>
        <v>#N/A</v>
      </c>
      <c r="I410" s="56"/>
      <c r="J410" s="141"/>
      <c r="K410" s="56"/>
      <c r="L410" s="57"/>
      <c r="M410" s="72"/>
      <c r="N410" s="72"/>
    </row>
    <row r="411" spans="1:14" x14ac:dyDescent="0.3">
      <c r="A411" s="55">
        <v>46299</v>
      </c>
      <c r="B411" s="56">
        <f t="shared" si="36"/>
        <v>10</v>
      </c>
      <c r="C411" s="56">
        <f t="shared" si="35"/>
        <v>41</v>
      </c>
      <c r="D411" s="56"/>
      <c r="E411" s="56" t="e">
        <f>VLOOKUP(D411,姓名檔!$A$2:$G$159,4,0)</f>
        <v>#N/A</v>
      </c>
      <c r="F411" s="56" t="s">
        <v>15</v>
      </c>
      <c r="G411" s="56" t="str">
        <f>VLOOKUP(F411,姓名檔!$H$3:$I$18,2)</f>
        <v>主日奉獻</v>
      </c>
      <c r="H411" s="56" t="e">
        <f>VLOOKUP(D411,姓名檔!$A$2:G$159,5,0)</f>
        <v>#N/A</v>
      </c>
      <c r="I411" s="56"/>
      <c r="J411" s="141"/>
      <c r="K411" s="56"/>
      <c r="L411" s="57"/>
      <c r="M411" s="72"/>
      <c r="N411" s="72"/>
    </row>
    <row r="412" spans="1:14" x14ac:dyDescent="0.3">
      <c r="A412" s="55">
        <v>46299</v>
      </c>
      <c r="B412" s="56">
        <f t="shared" si="36"/>
        <v>10</v>
      </c>
      <c r="C412" s="56">
        <f t="shared" si="35"/>
        <v>41</v>
      </c>
      <c r="D412" s="56"/>
      <c r="E412" s="56" t="e">
        <f>VLOOKUP(D412,姓名檔!$A$2:$G$159,4,0)</f>
        <v>#N/A</v>
      </c>
      <c r="F412" s="56" t="s">
        <v>15</v>
      </c>
      <c r="G412" s="56" t="str">
        <f>VLOOKUP(F412,姓名檔!$H$3:$I$18,2)</f>
        <v>主日奉獻</v>
      </c>
      <c r="H412" s="56" t="e">
        <f>VLOOKUP(D412,姓名檔!$A$2:G$159,5,0)</f>
        <v>#N/A</v>
      </c>
      <c r="I412" s="56"/>
      <c r="J412" s="141"/>
      <c r="K412" s="56"/>
      <c r="L412" s="57"/>
      <c r="M412" s="72"/>
      <c r="N412" s="72"/>
    </row>
    <row r="413" spans="1:14" x14ac:dyDescent="0.3">
      <c r="A413" s="55">
        <v>46299</v>
      </c>
      <c r="B413" s="56">
        <f t="shared" si="36"/>
        <v>10</v>
      </c>
      <c r="C413" s="56">
        <f t="shared" si="35"/>
        <v>41</v>
      </c>
      <c r="D413" s="56"/>
      <c r="E413" s="56" t="e">
        <f>VLOOKUP(D413,姓名檔!$A$2:$G$159,4,0)</f>
        <v>#N/A</v>
      </c>
      <c r="F413" s="56" t="s">
        <v>15</v>
      </c>
      <c r="G413" s="56" t="str">
        <f>VLOOKUP(F413,姓名檔!$H$3:$I$18,2)</f>
        <v>主日奉獻</v>
      </c>
      <c r="H413" s="56" t="e">
        <f>VLOOKUP(D413,姓名檔!$A$2:G$159,5,0)</f>
        <v>#N/A</v>
      </c>
      <c r="I413" s="56"/>
      <c r="J413" s="141"/>
      <c r="K413" s="56"/>
      <c r="L413" s="57"/>
      <c r="M413" s="72"/>
      <c r="N413" s="72"/>
    </row>
    <row r="414" spans="1:14" x14ac:dyDescent="0.3">
      <c r="A414" s="55">
        <v>46299</v>
      </c>
      <c r="B414" s="56">
        <f t="shared" si="36"/>
        <v>10</v>
      </c>
      <c r="C414" s="56">
        <f t="shared" si="35"/>
        <v>41</v>
      </c>
      <c r="D414" s="56"/>
      <c r="E414" s="56" t="e">
        <f>VLOOKUP(D414,姓名檔!$A$2:$G$159,4,0)</f>
        <v>#N/A</v>
      </c>
      <c r="F414" s="56" t="s">
        <v>15</v>
      </c>
      <c r="G414" s="56" t="str">
        <f>VLOOKUP(F414,姓名檔!$H$3:$I$18,2)</f>
        <v>主日奉獻</v>
      </c>
      <c r="H414" s="56" t="e">
        <f>VLOOKUP(D414,姓名檔!$A$2:G$159,5,0)</f>
        <v>#N/A</v>
      </c>
      <c r="I414" s="56"/>
      <c r="J414" s="141"/>
      <c r="K414" s="56"/>
      <c r="L414" s="57"/>
      <c r="M414" s="72"/>
      <c r="N414" s="72"/>
    </row>
    <row r="415" spans="1:14" x14ac:dyDescent="0.3">
      <c r="A415" s="55">
        <v>46299</v>
      </c>
      <c r="B415" s="56">
        <f t="shared" si="36"/>
        <v>10</v>
      </c>
      <c r="C415" s="56">
        <f t="shared" si="35"/>
        <v>41</v>
      </c>
      <c r="D415" s="56"/>
      <c r="E415" s="56" t="e">
        <f>VLOOKUP(D415,姓名檔!$A$2:$G$159,4,0)</f>
        <v>#N/A</v>
      </c>
      <c r="F415" s="56" t="s">
        <v>15</v>
      </c>
      <c r="G415" s="56" t="str">
        <f>VLOOKUP(F415,姓名檔!$H$3:$I$18,2)</f>
        <v>主日奉獻</v>
      </c>
      <c r="H415" s="56" t="e">
        <f>VLOOKUP(D415,姓名檔!$A$2:G$159,5,0)</f>
        <v>#N/A</v>
      </c>
      <c r="I415" s="56"/>
      <c r="J415" s="141"/>
      <c r="K415" s="56"/>
      <c r="L415" s="57"/>
      <c r="M415" s="72"/>
      <c r="N415" s="72"/>
    </row>
    <row r="416" spans="1:14" x14ac:dyDescent="0.3">
      <c r="A416" s="55">
        <v>46299</v>
      </c>
      <c r="B416" s="56">
        <f t="shared" si="36"/>
        <v>10</v>
      </c>
      <c r="C416" s="56">
        <f t="shared" si="35"/>
        <v>41</v>
      </c>
      <c r="D416" s="56"/>
      <c r="E416" s="56" t="e">
        <f>VLOOKUP(D416,姓名檔!$A$2:$G$159,4,0)</f>
        <v>#N/A</v>
      </c>
      <c r="F416" s="56" t="s">
        <v>15</v>
      </c>
      <c r="G416" s="56" t="str">
        <f>VLOOKUP(F416,姓名檔!$H$3:$I$18,2)</f>
        <v>主日奉獻</v>
      </c>
      <c r="H416" s="56" t="e">
        <f>VLOOKUP(D416,姓名檔!$A$2:G$159,5,0)</f>
        <v>#N/A</v>
      </c>
      <c r="I416" s="56"/>
      <c r="J416" s="141"/>
      <c r="K416" s="56"/>
      <c r="L416" s="57"/>
      <c r="M416" s="72"/>
      <c r="N416" s="72"/>
    </row>
    <row r="417" spans="1:14" x14ac:dyDescent="0.3">
      <c r="A417" s="55">
        <v>46299</v>
      </c>
      <c r="B417" s="56">
        <f t="shared" si="36"/>
        <v>10</v>
      </c>
      <c r="C417" s="56">
        <f t="shared" si="35"/>
        <v>41</v>
      </c>
      <c r="D417" s="56"/>
      <c r="E417" s="56" t="e">
        <f>VLOOKUP(D417,姓名檔!$A$2:$G$159,4,0)</f>
        <v>#N/A</v>
      </c>
      <c r="F417" s="56" t="s">
        <v>15</v>
      </c>
      <c r="G417" s="56" t="str">
        <f>VLOOKUP(F417,姓名檔!$H$3:$I$18,2)</f>
        <v>主日奉獻</v>
      </c>
      <c r="H417" s="56" t="e">
        <f>VLOOKUP(D417,姓名檔!$A$2:G$159,5,0)</f>
        <v>#N/A</v>
      </c>
      <c r="I417" s="56"/>
      <c r="J417" s="141"/>
      <c r="K417" s="56"/>
      <c r="L417" s="57"/>
      <c r="M417" s="72"/>
      <c r="N417" s="72"/>
    </row>
    <row r="418" spans="1:14" x14ac:dyDescent="0.3">
      <c r="A418" s="55">
        <v>46299</v>
      </c>
      <c r="B418" s="56">
        <f t="shared" si="36"/>
        <v>10</v>
      </c>
      <c r="C418" s="56">
        <f t="shared" si="35"/>
        <v>41</v>
      </c>
      <c r="D418" s="56"/>
      <c r="E418" s="56" t="e">
        <f>VLOOKUP(D418,姓名檔!$A$2:$G$159,4,0)</f>
        <v>#N/A</v>
      </c>
      <c r="F418" s="56" t="s">
        <v>15</v>
      </c>
      <c r="G418" s="56" t="str">
        <f>VLOOKUP(F418,姓名檔!$H$3:$I$18,2)</f>
        <v>主日奉獻</v>
      </c>
      <c r="H418" s="56" t="e">
        <f>VLOOKUP(D418,姓名檔!$A$2:G$159,5,0)</f>
        <v>#N/A</v>
      </c>
      <c r="I418" s="56"/>
      <c r="J418" s="141"/>
      <c r="K418" s="56"/>
      <c r="L418" s="57"/>
      <c r="M418" s="72"/>
      <c r="N418" s="72"/>
    </row>
    <row r="419" spans="1:14" x14ac:dyDescent="0.3">
      <c r="A419" s="55">
        <v>46299</v>
      </c>
      <c r="B419" s="56">
        <f t="shared" si="36"/>
        <v>10</v>
      </c>
      <c r="C419" s="56">
        <f t="shared" si="35"/>
        <v>41</v>
      </c>
      <c r="D419" s="56"/>
      <c r="E419" s="56" t="e">
        <f>VLOOKUP(D419,姓名檔!$A$2:$G$159,4,0)</f>
        <v>#N/A</v>
      </c>
      <c r="F419" s="56" t="s">
        <v>15</v>
      </c>
      <c r="G419" s="56" t="str">
        <f>VLOOKUP(F419,姓名檔!$H$3:$I$18,2)</f>
        <v>主日奉獻</v>
      </c>
      <c r="H419" s="56" t="e">
        <f>VLOOKUP(D419,姓名檔!$A$2:G$159,5,0)</f>
        <v>#N/A</v>
      </c>
      <c r="I419" s="56"/>
      <c r="J419" s="141"/>
      <c r="K419" s="56"/>
      <c r="L419" s="57"/>
      <c r="M419" s="72"/>
      <c r="N419" s="72"/>
    </row>
    <row r="420" spans="1:14" x14ac:dyDescent="0.3">
      <c r="A420" s="55">
        <v>46299</v>
      </c>
      <c r="B420" s="56">
        <f t="shared" si="36"/>
        <v>10</v>
      </c>
      <c r="C420" s="56">
        <f t="shared" si="35"/>
        <v>41</v>
      </c>
      <c r="D420" s="56"/>
      <c r="E420" s="56" t="e">
        <f>VLOOKUP(D420,姓名檔!$A$2:$G$159,4,0)</f>
        <v>#N/A</v>
      </c>
      <c r="F420" s="56" t="s">
        <v>15</v>
      </c>
      <c r="G420" s="56" t="str">
        <f>VLOOKUP(F420,姓名檔!$H$3:$I$18,2)</f>
        <v>主日奉獻</v>
      </c>
      <c r="H420" s="56" t="e">
        <f>VLOOKUP(D420,姓名檔!$A$2:G$159,5,0)</f>
        <v>#N/A</v>
      </c>
      <c r="I420" s="56"/>
      <c r="J420" s="141"/>
      <c r="K420" s="56"/>
      <c r="L420" s="57"/>
      <c r="M420" s="72"/>
      <c r="N420" s="72"/>
    </row>
    <row r="421" spans="1:14" x14ac:dyDescent="0.3">
      <c r="A421" s="55">
        <v>46299</v>
      </c>
      <c r="B421" s="56">
        <f t="shared" si="36"/>
        <v>10</v>
      </c>
      <c r="C421" s="56">
        <f t="shared" si="35"/>
        <v>41</v>
      </c>
      <c r="D421" s="56"/>
      <c r="E421" s="56" t="e">
        <f>VLOOKUP(D421,姓名檔!$A$2:$G$159,4,0)</f>
        <v>#N/A</v>
      </c>
      <c r="F421" s="56" t="s">
        <v>15</v>
      </c>
      <c r="G421" s="56" t="str">
        <f>VLOOKUP(F421,姓名檔!$H$3:$I$18,2)</f>
        <v>主日奉獻</v>
      </c>
      <c r="H421" s="56" t="e">
        <f>VLOOKUP(D421,姓名檔!$A$2:G$159,5,0)</f>
        <v>#N/A</v>
      </c>
      <c r="I421" s="56"/>
      <c r="J421" s="141"/>
      <c r="K421" s="56"/>
      <c r="L421" s="57"/>
      <c r="M421" s="72"/>
      <c r="N421" s="72"/>
    </row>
    <row r="422" spans="1:14" x14ac:dyDescent="0.3">
      <c r="A422" s="55">
        <v>46299</v>
      </c>
      <c r="B422" s="56">
        <f t="shared" si="36"/>
        <v>10</v>
      </c>
      <c r="C422" s="56">
        <f t="shared" si="35"/>
        <v>41</v>
      </c>
      <c r="D422" s="56"/>
      <c r="E422" s="56" t="e">
        <f>VLOOKUP(D422,姓名檔!$A$2:$G$159,4,0)</f>
        <v>#N/A</v>
      </c>
      <c r="F422" s="56" t="s">
        <v>15</v>
      </c>
      <c r="G422" s="56" t="str">
        <f>VLOOKUP(F422,姓名檔!$H$3:$I$18,2)</f>
        <v>主日奉獻</v>
      </c>
      <c r="H422" s="56" t="e">
        <f>VLOOKUP(D422,姓名檔!$A$2:G$159,5,0)</f>
        <v>#N/A</v>
      </c>
      <c r="I422" s="56"/>
      <c r="J422" s="141"/>
      <c r="K422" s="56"/>
      <c r="L422" s="57"/>
      <c r="M422" s="72"/>
      <c r="N422" s="72"/>
    </row>
    <row r="423" spans="1:14" x14ac:dyDescent="0.3">
      <c r="A423" s="55">
        <v>46299</v>
      </c>
      <c r="B423" s="56">
        <f t="shared" si="36"/>
        <v>10</v>
      </c>
      <c r="C423" s="56">
        <f t="shared" si="35"/>
        <v>41</v>
      </c>
      <c r="D423" s="56"/>
      <c r="E423" s="56" t="e">
        <f>VLOOKUP(D423,姓名檔!$A$2:$G$159,4,0)</f>
        <v>#N/A</v>
      </c>
      <c r="F423" s="56" t="s">
        <v>15</v>
      </c>
      <c r="G423" s="56" t="str">
        <f>VLOOKUP(F423,姓名檔!$H$3:$I$18,2)</f>
        <v>主日奉獻</v>
      </c>
      <c r="H423" s="56" t="e">
        <f>VLOOKUP(D423,姓名檔!$A$2:G$159,5,0)</f>
        <v>#N/A</v>
      </c>
      <c r="I423" s="56"/>
      <c r="J423" s="141"/>
      <c r="K423" s="56"/>
      <c r="L423" s="57"/>
      <c r="M423" s="72"/>
      <c r="N423" s="72"/>
    </row>
    <row r="424" spans="1:14" x14ac:dyDescent="0.3">
      <c r="A424" s="55">
        <v>46299</v>
      </c>
      <c r="B424" s="56">
        <f t="shared" si="36"/>
        <v>10</v>
      </c>
      <c r="C424" s="56">
        <f t="shared" si="35"/>
        <v>41</v>
      </c>
      <c r="D424" s="56"/>
      <c r="E424" s="56" t="e">
        <f>VLOOKUP(D424,姓名檔!$A$2:$G$159,4,0)</f>
        <v>#N/A</v>
      </c>
      <c r="F424" s="56" t="s">
        <v>15</v>
      </c>
      <c r="G424" s="56" t="str">
        <f>VLOOKUP(F424,姓名檔!$H$3:$I$18,2)</f>
        <v>主日奉獻</v>
      </c>
      <c r="H424" s="56" t="e">
        <f>VLOOKUP(D424,姓名檔!$A$2:G$159,5,0)</f>
        <v>#N/A</v>
      </c>
      <c r="I424" s="56"/>
      <c r="J424" s="141"/>
      <c r="K424" s="56"/>
      <c r="L424" s="57"/>
      <c r="M424" s="72"/>
      <c r="N424" s="72"/>
    </row>
    <row r="425" spans="1:14" x14ac:dyDescent="0.3">
      <c r="A425" s="55">
        <v>46299</v>
      </c>
      <c r="B425" s="56">
        <f t="shared" si="36"/>
        <v>10</v>
      </c>
      <c r="C425" s="56">
        <f t="shared" si="35"/>
        <v>41</v>
      </c>
      <c r="D425" s="56"/>
      <c r="E425" s="56" t="e">
        <f>VLOOKUP(D425,姓名檔!$A$2:$G$159,4,0)</f>
        <v>#N/A</v>
      </c>
      <c r="F425" s="56" t="s">
        <v>15</v>
      </c>
      <c r="G425" s="56" t="str">
        <f>VLOOKUP(F425,姓名檔!$H$3:$I$18,2)</f>
        <v>主日奉獻</v>
      </c>
      <c r="H425" s="56" t="e">
        <f>VLOOKUP(D425,姓名檔!$A$2:G$159,5,0)</f>
        <v>#N/A</v>
      </c>
      <c r="I425" s="56"/>
      <c r="J425" s="141"/>
      <c r="K425" s="56"/>
      <c r="L425" s="57"/>
      <c r="M425" s="72"/>
      <c r="N425" s="72"/>
    </row>
    <row r="426" spans="1:14" x14ac:dyDescent="0.3">
      <c r="A426" s="55">
        <v>46299</v>
      </c>
      <c r="B426" s="56">
        <f t="shared" si="36"/>
        <v>10</v>
      </c>
      <c r="C426" s="56">
        <f t="shared" si="35"/>
        <v>41</v>
      </c>
      <c r="D426" s="56"/>
      <c r="E426" s="56" t="e">
        <f>VLOOKUP(D426,姓名檔!$A$2:$G$159,4,0)</f>
        <v>#N/A</v>
      </c>
      <c r="F426" s="56" t="s">
        <v>15</v>
      </c>
      <c r="G426" s="56" t="str">
        <f>VLOOKUP(F426,姓名檔!$H$3:$I$18,2)</f>
        <v>主日奉獻</v>
      </c>
      <c r="H426" s="56" t="e">
        <f>VLOOKUP(D426,姓名檔!$A$2:G$159,5,0)</f>
        <v>#N/A</v>
      </c>
      <c r="I426" s="56"/>
      <c r="J426" s="141"/>
      <c r="K426" s="56"/>
      <c r="L426" s="57"/>
      <c r="M426" s="72"/>
      <c r="N426" s="72"/>
    </row>
    <row r="427" spans="1:14" x14ac:dyDescent="0.3">
      <c r="A427" s="55">
        <v>46299</v>
      </c>
      <c r="B427" s="56">
        <f t="shared" si="36"/>
        <v>10</v>
      </c>
      <c r="C427" s="56">
        <f t="shared" si="35"/>
        <v>41</v>
      </c>
      <c r="D427" s="56"/>
      <c r="E427" s="56" t="e">
        <f>VLOOKUP(D427,姓名檔!$A$2:$G$159,4,0)</f>
        <v>#N/A</v>
      </c>
      <c r="F427" s="56" t="s">
        <v>15</v>
      </c>
      <c r="G427" s="56" t="str">
        <f>VLOOKUP(F427,姓名檔!$H$3:$I$18,2)</f>
        <v>主日奉獻</v>
      </c>
      <c r="H427" s="56" t="e">
        <f>VLOOKUP(D427,姓名檔!$A$2:G$159,5,0)</f>
        <v>#N/A</v>
      </c>
      <c r="I427" s="56"/>
      <c r="J427" s="141"/>
      <c r="K427" s="56"/>
      <c r="L427" s="57"/>
      <c r="M427" s="72"/>
      <c r="N427" s="72"/>
    </row>
    <row r="428" spans="1:14" x14ac:dyDescent="0.3">
      <c r="A428" s="55">
        <v>46299</v>
      </c>
      <c r="B428" s="56">
        <f t="shared" si="36"/>
        <v>10</v>
      </c>
      <c r="C428" s="56">
        <f t="shared" si="35"/>
        <v>41</v>
      </c>
      <c r="D428" s="56"/>
      <c r="E428" s="56" t="e">
        <f>VLOOKUP(D428,姓名檔!$A$2:$G$159,4,0)</f>
        <v>#N/A</v>
      </c>
      <c r="F428" s="56" t="s">
        <v>15</v>
      </c>
      <c r="G428" s="56" t="str">
        <f>VLOOKUP(F428,姓名檔!$H$3:$I$18,2)</f>
        <v>主日奉獻</v>
      </c>
      <c r="H428" s="56" t="e">
        <f>VLOOKUP(D428,姓名檔!$A$2:G$159,5,0)</f>
        <v>#N/A</v>
      </c>
      <c r="I428" s="56"/>
      <c r="J428" s="141"/>
      <c r="K428" s="56"/>
      <c r="L428" s="57"/>
      <c r="M428" s="72"/>
      <c r="N428" s="72"/>
    </row>
    <row r="429" spans="1:14" x14ac:dyDescent="0.3">
      <c r="A429" s="55">
        <v>46299</v>
      </c>
      <c r="B429" s="56">
        <f t="shared" si="36"/>
        <v>10</v>
      </c>
      <c r="C429" s="56">
        <f t="shared" si="35"/>
        <v>41</v>
      </c>
      <c r="D429" s="56"/>
      <c r="E429" s="56" t="e">
        <f>VLOOKUP(D429,姓名檔!$A$2:$G$159,4,0)</f>
        <v>#N/A</v>
      </c>
      <c r="F429" s="56" t="s">
        <v>15</v>
      </c>
      <c r="G429" s="56" t="str">
        <f>VLOOKUP(F429,姓名檔!$H$3:$I$18,2)</f>
        <v>主日奉獻</v>
      </c>
      <c r="H429" s="56" t="e">
        <f>VLOOKUP(D429,姓名檔!$A$2:G$159,5,0)</f>
        <v>#N/A</v>
      </c>
      <c r="I429" s="56"/>
      <c r="J429" s="141"/>
      <c r="K429" s="56"/>
      <c r="L429" s="57"/>
      <c r="M429" s="72"/>
      <c r="N429" s="72"/>
    </row>
    <row r="430" spans="1:14" x14ac:dyDescent="0.3">
      <c r="A430" s="55">
        <v>46299</v>
      </c>
      <c r="B430" s="56">
        <f t="shared" si="36"/>
        <v>10</v>
      </c>
      <c r="C430" s="56">
        <f t="shared" si="35"/>
        <v>41</v>
      </c>
      <c r="D430" s="56"/>
      <c r="E430" s="56" t="e">
        <f>VLOOKUP(D430,姓名檔!$A$2:$G$159,4,0)</f>
        <v>#N/A</v>
      </c>
      <c r="F430" s="56" t="s">
        <v>15</v>
      </c>
      <c r="G430" s="56" t="str">
        <f>VLOOKUP(F430,姓名檔!$H$3:$I$18,2)</f>
        <v>主日奉獻</v>
      </c>
      <c r="H430" s="56" t="e">
        <f>VLOOKUP(D430,姓名檔!$A$2:G$159,5,0)</f>
        <v>#N/A</v>
      </c>
      <c r="I430" s="56"/>
      <c r="J430" s="141"/>
      <c r="K430" s="56"/>
      <c r="L430" s="57"/>
      <c r="M430" s="72"/>
      <c r="N430" s="72"/>
    </row>
    <row r="431" spans="1:14" x14ac:dyDescent="0.3">
      <c r="A431" s="55">
        <v>46299</v>
      </c>
      <c r="B431" s="56">
        <f t="shared" si="36"/>
        <v>10</v>
      </c>
      <c r="C431" s="56">
        <f t="shared" si="35"/>
        <v>41</v>
      </c>
      <c r="D431" s="56"/>
      <c r="E431" s="56" t="e">
        <f>VLOOKUP(D431,姓名檔!$A$2:$G$159,4,0)</f>
        <v>#N/A</v>
      </c>
      <c r="F431" s="56" t="s">
        <v>15</v>
      </c>
      <c r="G431" s="56" t="str">
        <f>VLOOKUP(F431,姓名檔!$H$3:$I$18,2)</f>
        <v>主日奉獻</v>
      </c>
      <c r="H431" s="56" t="e">
        <f>VLOOKUP(D431,姓名檔!$A$2:G$159,5,0)</f>
        <v>#N/A</v>
      </c>
      <c r="I431" s="56"/>
      <c r="J431" s="141"/>
      <c r="K431" s="56"/>
      <c r="L431" s="57"/>
      <c r="M431" s="72"/>
      <c r="N431" s="72"/>
    </row>
    <row r="432" spans="1:14" x14ac:dyDescent="0.3">
      <c r="A432" s="55">
        <v>46299</v>
      </c>
      <c r="B432" s="56">
        <f t="shared" si="36"/>
        <v>10</v>
      </c>
      <c r="C432" s="56">
        <f t="shared" si="35"/>
        <v>41</v>
      </c>
      <c r="D432" s="56"/>
      <c r="E432" s="56" t="e">
        <f>VLOOKUP(D432,姓名檔!$A$2:$G$159,4,0)</f>
        <v>#N/A</v>
      </c>
      <c r="F432" s="56" t="s">
        <v>15</v>
      </c>
      <c r="G432" s="56" t="str">
        <f>VLOOKUP(F432,姓名檔!$H$3:$I$18,2)</f>
        <v>主日奉獻</v>
      </c>
      <c r="H432" s="56" t="e">
        <f>VLOOKUP(D432,姓名檔!$A$2:G$159,5,0)</f>
        <v>#N/A</v>
      </c>
      <c r="I432" s="56"/>
      <c r="J432" s="141"/>
      <c r="K432" s="56"/>
      <c r="L432" s="57"/>
      <c r="M432" s="72"/>
      <c r="N432" s="72"/>
    </row>
    <row r="433" spans="1:14" x14ac:dyDescent="0.3">
      <c r="A433" s="55">
        <v>46299</v>
      </c>
      <c r="B433" s="56">
        <f t="shared" si="36"/>
        <v>10</v>
      </c>
      <c r="C433" s="56">
        <f t="shared" si="35"/>
        <v>41</v>
      </c>
      <c r="D433" s="56"/>
      <c r="E433" s="56" t="e">
        <f>VLOOKUP(D433,姓名檔!$A$2:$G$159,4,0)</f>
        <v>#N/A</v>
      </c>
      <c r="F433" s="56" t="s">
        <v>15</v>
      </c>
      <c r="G433" s="56" t="str">
        <f>VLOOKUP(F433,姓名檔!$H$3:$I$18,2)</f>
        <v>主日奉獻</v>
      </c>
      <c r="H433" s="56" t="e">
        <f>VLOOKUP(D433,姓名檔!$A$2:G$159,5,0)</f>
        <v>#N/A</v>
      </c>
      <c r="I433" s="56"/>
      <c r="J433" s="141"/>
      <c r="K433" s="56"/>
      <c r="L433" s="57"/>
      <c r="M433" s="72"/>
      <c r="N433" s="72"/>
    </row>
    <row r="434" spans="1:14" x14ac:dyDescent="0.3">
      <c r="A434" s="55">
        <v>46299</v>
      </c>
      <c r="B434" s="56">
        <f t="shared" si="36"/>
        <v>10</v>
      </c>
      <c r="C434" s="56">
        <f t="shared" si="35"/>
        <v>41</v>
      </c>
      <c r="D434" s="56"/>
      <c r="E434" s="56" t="e">
        <f>VLOOKUP(D434,姓名檔!$A$2:$G$159,4,0)</f>
        <v>#N/A</v>
      </c>
      <c r="F434" s="56" t="s">
        <v>15</v>
      </c>
      <c r="G434" s="56" t="str">
        <f>VLOOKUP(F434,姓名檔!$H$3:$I$18,2)</f>
        <v>主日奉獻</v>
      </c>
      <c r="H434" s="56" t="e">
        <f>VLOOKUP(D434,姓名檔!$A$2:G$159,5,0)</f>
        <v>#N/A</v>
      </c>
      <c r="I434" s="56"/>
      <c r="J434" s="141"/>
      <c r="K434" s="56"/>
      <c r="L434" s="57"/>
    </row>
    <row r="435" spans="1:14" x14ac:dyDescent="0.3">
      <c r="A435" s="55">
        <v>46299</v>
      </c>
      <c r="B435" s="56">
        <f t="shared" si="36"/>
        <v>10</v>
      </c>
      <c r="C435" s="56">
        <f t="shared" si="35"/>
        <v>41</v>
      </c>
      <c r="D435" s="56"/>
      <c r="E435" s="56" t="e">
        <f>VLOOKUP(D435,姓名檔!$A$2:$G$159,4,0)</f>
        <v>#N/A</v>
      </c>
      <c r="F435" s="56" t="s">
        <v>15</v>
      </c>
      <c r="G435" s="56" t="str">
        <f>VLOOKUP(F435,姓名檔!$H$3:$I$18,2)</f>
        <v>主日奉獻</v>
      </c>
      <c r="H435" s="56" t="e">
        <f>VLOOKUP(D435,姓名檔!$A$2:G$159,5,0)</f>
        <v>#N/A</v>
      </c>
      <c r="I435" s="56"/>
      <c r="J435" s="141"/>
      <c r="K435" s="56"/>
      <c r="L435" s="57"/>
    </row>
    <row r="436" spans="1:14" x14ac:dyDescent="0.3">
      <c r="A436" s="55">
        <v>46299</v>
      </c>
      <c r="B436" s="56">
        <f t="shared" si="36"/>
        <v>10</v>
      </c>
      <c r="C436" s="56">
        <f t="shared" ref="C436:C499" si="37">WEEKNUM(A436)</f>
        <v>41</v>
      </c>
      <c r="D436" s="56"/>
      <c r="E436" s="56" t="e">
        <f>VLOOKUP(D436,姓名檔!$A$2:$G$159,4,0)</f>
        <v>#N/A</v>
      </c>
      <c r="F436" s="56" t="s">
        <v>15</v>
      </c>
      <c r="G436" s="56" t="str">
        <f>VLOOKUP(F436,姓名檔!$H$3:$I$18,2)</f>
        <v>主日奉獻</v>
      </c>
      <c r="H436" s="56" t="e">
        <f>VLOOKUP(D436,姓名檔!$A$2:G$159,5,0)</f>
        <v>#N/A</v>
      </c>
      <c r="I436" s="56"/>
      <c r="J436" s="141"/>
      <c r="K436" s="56"/>
      <c r="L436" s="57"/>
    </row>
    <row r="437" spans="1:14" x14ac:dyDescent="0.3">
      <c r="A437" s="55">
        <v>46299</v>
      </c>
      <c r="B437" s="56">
        <f t="shared" ref="B437:B500" si="38">MONTH(A437)</f>
        <v>10</v>
      </c>
      <c r="C437" s="56">
        <f t="shared" si="37"/>
        <v>41</v>
      </c>
      <c r="D437" s="56"/>
      <c r="E437" s="56" t="e">
        <f>VLOOKUP(D437,姓名檔!$A$2:$G$159,4,0)</f>
        <v>#N/A</v>
      </c>
      <c r="F437" s="56" t="s">
        <v>15</v>
      </c>
      <c r="G437" s="56" t="str">
        <f>VLOOKUP(F437,姓名檔!$H$3:$I$18,2)</f>
        <v>主日奉獻</v>
      </c>
      <c r="H437" s="56" t="e">
        <f>VLOOKUP(D437,姓名檔!$A$2:G$159,5,0)</f>
        <v>#N/A</v>
      </c>
      <c r="I437" s="56"/>
      <c r="J437" s="141"/>
      <c r="K437" s="56"/>
      <c r="L437" s="57"/>
    </row>
    <row r="438" spans="1:14" x14ac:dyDescent="0.3">
      <c r="A438" s="55">
        <v>46299</v>
      </c>
      <c r="B438" s="56">
        <f t="shared" si="38"/>
        <v>10</v>
      </c>
      <c r="C438" s="56">
        <f t="shared" si="37"/>
        <v>41</v>
      </c>
      <c r="D438" s="56"/>
      <c r="E438" s="56" t="e">
        <f>VLOOKUP(D438,姓名檔!$A$2:$G$159,4,0)</f>
        <v>#N/A</v>
      </c>
      <c r="F438" s="56" t="s">
        <v>15</v>
      </c>
      <c r="G438" s="56" t="str">
        <f>VLOOKUP(F438,姓名檔!$H$3:$I$18,2)</f>
        <v>主日奉獻</v>
      </c>
      <c r="H438" s="56" t="e">
        <f>VLOOKUP(D438,姓名檔!$A$2:G$159,5,0)</f>
        <v>#N/A</v>
      </c>
      <c r="I438" s="56"/>
      <c r="J438" s="141"/>
      <c r="K438" s="56"/>
      <c r="L438" s="57"/>
    </row>
    <row r="439" spans="1:14" x14ac:dyDescent="0.3">
      <c r="A439" s="55">
        <v>46299</v>
      </c>
      <c r="B439" s="56">
        <f t="shared" si="38"/>
        <v>10</v>
      </c>
      <c r="C439" s="56">
        <f t="shared" si="37"/>
        <v>41</v>
      </c>
      <c r="D439" s="56"/>
      <c r="E439" s="56" t="e">
        <f>VLOOKUP(D439,姓名檔!$A$2:$G$159,4,0)</f>
        <v>#N/A</v>
      </c>
      <c r="F439" s="56" t="s">
        <v>15</v>
      </c>
      <c r="G439" s="56" t="str">
        <f>VLOOKUP(F439,姓名檔!$H$3:$I$18,2)</f>
        <v>主日奉獻</v>
      </c>
      <c r="H439" s="56" t="e">
        <f>VLOOKUP(D439,姓名檔!$A$2:G$159,5,0)</f>
        <v>#N/A</v>
      </c>
      <c r="I439" s="56"/>
      <c r="J439" s="141"/>
      <c r="K439" s="56"/>
      <c r="L439" s="57"/>
    </row>
    <row r="440" spans="1:14" x14ac:dyDescent="0.3">
      <c r="A440" s="55">
        <v>46299</v>
      </c>
      <c r="B440" s="56">
        <f t="shared" si="38"/>
        <v>10</v>
      </c>
      <c r="C440" s="56">
        <f t="shared" si="37"/>
        <v>41</v>
      </c>
      <c r="D440" s="56"/>
      <c r="E440" s="56" t="e">
        <f>VLOOKUP(D440,姓名檔!$A$2:$G$159,4,0)</f>
        <v>#N/A</v>
      </c>
      <c r="F440" s="56" t="s">
        <v>15</v>
      </c>
      <c r="G440" s="56" t="str">
        <f>VLOOKUP(F440,姓名檔!$H$3:$I$18,2)</f>
        <v>主日奉獻</v>
      </c>
      <c r="H440" s="56" t="e">
        <f>VLOOKUP(D440,姓名檔!$A$2:G$159,5,0)</f>
        <v>#N/A</v>
      </c>
      <c r="I440" s="56"/>
      <c r="J440" s="141"/>
      <c r="K440" s="56"/>
      <c r="L440" s="57"/>
    </row>
    <row r="441" spans="1:14" x14ac:dyDescent="0.3">
      <c r="A441" s="55">
        <v>46299</v>
      </c>
      <c r="B441" s="56">
        <f t="shared" si="38"/>
        <v>10</v>
      </c>
      <c r="C441" s="56">
        <f t="shared" si="37"/>
        <v>41</v>
      </c>
      <c r="D441" s="56"/>
      <c r="E441" s="56" t="e">
        <f>VLOOKUP(D441,姓名檔!$A$2:$G$159,4,0)</f>
        <v>#N/A</v>
      </c>
      <c r="F441" s="56" t="s">
        <v>15</v>
      </c>
      <c r="G441" s="56" t="str">
        <f>VLOOKUP(F441,姓名檔!$H$3:$I$18,2)</f>
        <v>主日奉獻</v>
      </c>
      <c r="H441" s="56" t="e">
        <f>VLOOKUP(D441,姓名檔!$A$2:G$159,5,0)</f>
        <v>#N/A</v>
      </c>
      <c r="I441" s="56"/>
      <c r="J441" s="141"/>
      <c r="K441" s="56"/>
      <c r="L441" s="57"/>
    </row>
    <row r="442" spans="1:14" x14ac:dyDescent="0.3">
      <c r="A442" s="55">
        <v>46299</v>
      </c>
      <c r="B442" s="56">
        <f t="shared" si="38"/>
        <v>10</v>
      </c>
      <c r="C442" s="56">
        <f t="shared" si="37"/>
        <v>41</v>
      </c>
      <c r="D442" s="56"/>
      <c r="E442" s="56" t="e">
        <f>VLOOKUP(D442,姓名檔!$A$2:$G$159,4,0)</f>
        <v>#N/A</v>
      </c>
      <c r="F442" s="56" t="s">
        <v>15</v>
      </c>
      <c r="G442" s="56" t="str">
        <f>VLOOKUP(F442,姓名檔!$H$3:$I$18,2)</f>
        <v>主日奉獻</v>
      </c>
      <c r="H442" s="56" t="e">
        <f>VLOOKUP(D442,姓名檔!$A$2:G$159,5,0)</f>
        <v>#N/A</v>
      </c>
      <c r="I442" s="56"/>
      <c r="J442" s="141"/>
      <c r="K442" s="56"/>
      <c r="L442" s="57"/>
    </row>
    <row r="443" spans="1:14" x14ac:dyDescent="0.3">
      <c r="A443" s="55">
        <v>46299</v>
      </c>
      <c r="B443" s="56">
        <f t="shared" si="38"/>
        <v>10</v>
      </c>
      <c r="C443" s="56">
        <f t="shared" si="37"/>
        <v>41</v>
      </c>
      <c r="D443" s="56"/>
      <c r="E443" s="56" t="e">
        <f>VLOOKUP(D443,姓名檔!$A$2:$G$159,4,0)</f>
        <v>#N/A</v>
      </c>
      <c r="F443" s="56" t="s">
        <v>15</v>
      </c>
      <c r="G443" s="56" t="str">
        <f>VLOOKUP(F443,姓名檔!$H$3:$I$18,2)</f>
        <v>主日奉獻</v>
      </c>
      <c r="H443" s="56" t="e">
        <f>VLOOKUP(D443,姓名檔!$A$2:G$159,5,0)</f>
        <v>#N/A</v>
      </c>
      <c r="I443" s="56"/>
      <c r="J443" s="141"/>
      <c r="K443" s="56"/>
      <c r="L443" s="57"/>
    </row>
    <row r="444" spans="1:14" x14ac:dyDescent="0.3">
      <c r="A444" s="55">
        <v>46299</v>
      </c>
      <c r="B444" s="56">
        <f t="shared" si="38"/>
        <v>10</v>
      </c>
      <c r="C444" s="56">
        <f t="shared" si="37"/>
        <v>41</v>
      </c>
      <c r="D444" s="56"/>
      <c r="E444" s="56" t="e">
        <f>VLOOKUP(D444,姓名檔!$A$2:$G$159,4,0)</f>
        <v>#N/A</v>
      </c>
      <c r="F444" s="56" t="s">
        <v>15</v>
      </c>
      <c r="G444" s="56" t="str">
        <f>VLOOKUP(F444,姓名檔!$H$3:$I$18,2)</f>
        <v>主日奉獻</v>
      </c>
      <c r="H444" s="56" t="e">
        <f>VLOOKUP(D444,姓名檔!$A$2:G$159,5,0)</f>
        <v>#N/A</v>
      </c>
      <c r="I444" s="56"/>
      <c r="J444" s="141"/>
      <c r="K444" s="56"/>
      <c r="L444" s="57"/>
    </row>
    <row r="445" spans="1:14" x14ac:dyDescent="0.3">
      <c r="A445" s="55">
        <v>46299</v>
      </c>
      <c r="B445" s="56">
        <f t="shared" si="38"/>
        <v>10</v>
      </c>
      <c r="C445" s="56">
        <f t="shared" si="37"/>
        <v>41</v>
      </c>
      <c r="D445" s="56"/>
      <c r="E445" s="56" t="e">
        <f>VLOOKUP(D445,姓名檔!$A$2:$G$159,4,0)</f>
        <v>#N/A</v>
      </c>
      <c r="F445" s="56" t="s">
        <v>15</v>
      </c>
      <c r="G445" s="56" t="str">
        <f>VLOOKUP(F445,姓名檔!$H$3:$I$18,2)</f>
        <v>主日奉獻</v>
      </c>
      <c r="H445" s="56" t="e">
        <f>VLOOKUP(D445,姓名檔!$A$2:G$159,5,0)</f>
        <v>#N/A</v>
      </c>
      <c r="I445" s="56"/>
      <c r="J445" s="141"/>
      <c r="K445" s="56"/>
      <c r="L445" s="57"/>
    </row>
    <row r="446" spans="1:14" x14ac:dyDescent="0.3">
      <c r="A446" s="55">
        <v>46299</v>
      </c>
      <c r="B446" s="56">
        <f t="shared" si="38"/>
        <v>10</v>
      </c>
      <c r="C446" s="56">
        <f t="shared" si="37"/>
        <v>41</v>
      </c>
      <c r="D446" s="56"/>
      <c r="E446" s="56" t="e">
        <f>VLOOKUP(D446,姓名檔!$A$2:$G$159,4,0)</f>
        <v>#N/A</v>
      </c>
      <c r="F446" s="56" t="s">
        <v>15</v>
      </c>
      <c r="G446" s="56" t="str">
        <f>VLOOKUP(F446,姓名檔!$H$3:$I$18,2)</f>
        <v>主日奉獻</v>
      </c>
      <c r="H446" s="56" t="e">
        <f>VLOOKUP(D446,姓名檔!$A$2:G$159,5,0)</f>
        <v>#N/A</v>
      </c>
      <c r="I446" s="56"/>
      <c r="J446" s="141"/>
      <c r="K446" s="56"/>
      <c r="L446" s="57"/>
    </row>
    <row r="447" spans="1:14" x14ac:dyDescent="0.3">
      <c r="A447" s="55">
        <v>46299</v>
      </c>
      <c r="B447" s="56">
        <f t="shared" si="38"/>
        <v>10</v>
      </c>
      <c r="C447" s="56">
        <f t="shared" si="37"/>
        <v>41</v>
      </c>
      <c r="D447" s="56"/>
      <c r="E447" s="56" t="e">
        <f>VLOOKUP(D447,姓名檔!$A$2:$G$159,4,0)</f>
        <v>#N/A</v>
      </c>
      <c r="F447" s="56" t="s">
        <v>15</v>
      </c>
      <c r="G447" s="56" t="str">
        <f>VLOOKUP(F447,姓名檔!$H$3:$I$18,2)</f>
        <v>主日奉獻</v>
      </c>
      <c r="H447" s="56" t="e">
        <f>VLOOKUP(D447,姓名檔!$A$2:G$159,5,0)</f>
        <v>#N/A</v>
      </c>
      <c r="I447" s="56"/>
      <c r="J447" s="141"/>
      <c r="K447" s="56"/>
      <c r="L447" s="57"/>
    </row>
    <row r="448" spans="1:14" x14ac:dyDescent="0.3">
      <c r="A448" s="55">
        <v>46299</v>
      </c>
      <c r="B448" s="56">
        <f t="shared" si="38"/>
        <v>10</v>
      </c>
      <c r="C448" s="56">
        <f t="shared" si="37"/>
        <v>41</v>
      </c>
      <c r="D448" s="56"/>
      <c r="E448" s="56" t="e">
        <f>VLOOKUP(D448,姓名檔!$A$2:$G$159,4,0)</f>
        <v>#N/A</v>
      </c>
      <c r="F448" s="56" t="s">
        <v>15</v>
      </c>
      <c r="G448" s="56" t="str">
        <f>VLOOKUP(F448,姓名檔!$H$3:$I$18,2)</f>
        <v>主日奉獻</v>
      </c>
      <c r="H448" s="56" t="e">
        <f>VLOOKUP(D448,姓名檔!$A$2:G$159,5,0)</f>
        <v>#N/A</v>
      </c>
      <c r="I448" s="56"/>
      <c r="J448" s="141"/>
      <c r="K448" s="56"/>
      <c r="L448" s="57"/>
    </row>
    <row r="449" spans="1:12" x14ac:dyDescent="0.3">
      <c r="A449" s="55">
        <v>46299</v>
      </c>
      <c r="B449" s="56">
        <f t="shared" si="38"/>
        <v>10</v>
      </c>
      <c r="C449" s="56">
        <f t="shared" si="37"/>
        <v>41</v>
      </c>
      <c r="D449" s="56"/>
      <c r="E449" s="56" t="e">
        <f>VLOOKUP(D449,姓名檔!$A$2:$G$159,4,0)</f>
        <v>#N/A</v>
      </c>
      <c r="F449" s="56" t="s">
        <v>15</v>
      </c>
      <c r="G449" s="56" t="str">
        <f>VLOOKUP(F449,姓名檔!$H$3:$I$18,2)</f>
        <v>主日奉獻</v>
      </c>
      <c r="H449" s="56" t="e">
        <f>VLOOKUP(D449,姓名檔!$A$2:G$159,5,0)</f>
        <v>#N/A</v>
      </c>
      <c r="I449" s="56"/>
      <c r="J449" s="141"/>
      <c r="K449" s="56"/>
      <c r="L449" s="57"/>
    </row>
    <row r="450" spans="1:12" x14ac:dyDescent="0.3">
      <c r="A450" s="55">
        <v>46299</v>
      </c>
      <c r="B450" s="56">
        <f t="shared" si="38"/>
        <v>10</v>
      </c>
      <c r="C450" s="56">
        <f t="shared" si="37"/>
        <v>41</v>
      </c>
      <c r="D450" s="56"/>
      <c r="E450" s="56" t="e">
        <f>VLOOKUP(D450,姓名檔!$A$2:$G$159,4,0)</f>
        <v>#N/A</v>
      </c>
      <c r="F450" s="56" t="s">
        <v>15</v>
      </c>
      <c r="G450" s="56" t="str">
        <f>VLOOKUP(F450,姓名檔!$H$3:$I$18,2)</f>
        <v>主日奉獻</v>
      </c>
      <c r="H450" s="56" t="e">
        <f>VLOOKUP(D450,姓名檔!$A$2:G$159,5,0)</f>
        <v>#N/A</v>
      </c>
      <c r="I450" s="56"/>
      <c r="J450" s="141"/>
      <c r="K450" s="56"/>
      <c r="L450" s="57"/>
    </row>
    <row r="451" spans="1:12" x14ac:dyDescent="0.3">
      <c r="A451" s="55">
        <v>46299</v>
      </c>
      <c r="B451" s="56">
        <f t="shared" si="38"/>
        <v>10</v>
      </c>
      <c r="C451" s="56">
        <f t="shared" si="37"/>
        <v>41</v>
      </c>
      <c r="D451" s="56"/>
      <c r="E451" s="56" t="e">
        <f>VLOOKUP(D451,姓名檔!$A$2:$G$159,4,0)</f>
        <v>#N/A</v>
      </c>
      <c r="F451" s="56" t="s">
        <v>15</v>
      </c>
      <c r="G451" s="56" t="str">
        <f>VLOOKUP(F451,姓名檔!$H$3:$I$18,2)</f>
        <v>主日奉獻</v>
      </c>
      <c r="H451" s="56" t="e">
        <f>VLOOKUP(D451,姓名檔!$A$2:G$159,5,0)</f>
        <v>#N/A</v>
      </c>
      <c r="I451" s="56"/>
      <c r="J451" s="141"/>
      <c r="K451" s="56"/>
      <c r="L451" s="57"/>
    </row>
    <row r="452" spans="1:12" x14ac:dyDescent="0.3">
      <c r="A452" s="55">
        <v>46299</v>
      </c>
      <c r="B452" s="56">
        <f t="shared" si="38"/>
        <v>10</v>
      </c>
      <c r="C452" s="56">
        <f t="shared" si="37"/>
        <v>41</v>
      </c>
      <c r="D452" s="56"/>
      <c r="E452" s="56" t="e">
        <f>VLOOKUP(D452,姓名檔!$A$2:$G$159,4,0)</f>
        <v>#N/A</v>
      </c>
      <c r="F452" s="56" t="s">
        <v>15</v>
      </c>
      <c r="G452" s="56" t="str">
        <f>VLOOKUP(F452,姓名檔!$H$3:$I$18,2)</f>
        <v>主日奉獻</v>
      </c>
      <c r="H452" s="56" t="e">
        <f>VLOOKUP(D452,姓名檔!$A$2:G$159,5,0)</f>
        <v>#N/A</v>
      </c>
      <c r="I452" s="56"/>
      <c r="J452" s="141"/>
      <c r="K452" s="56"/>
      <c r="L452" s="57"/>
    </row>
    <row r="453" spans="1:12" x14ac:dyDescent="0.3">
      <c r="A453" s="55">
        <v>46299</v>
      </c>
      <c r="B453" s="56">
        <f t="shared" si="38"/>
        <v>10</v>
      </c>
      <c r="C453" s="56">
        <f t="shared" si="37"/>
        <v>41</v>
      </c>
      <c r="D453" s="56"/>
      <c r="E453" s="56" t="e">
        <f>VLOOKUP(D453,姓名檔!$A$2:$G$159,4,0)</f>
        <v>#N/A</v>
      </c>
      <c r="F453" s="56" t="s">
        <v>15</v>
      </c>
      <c r="G453" s="56" t="str">
        <f>VLOOKUP(F453,姓名檔!$H$3:$I$18,2)</f>
        <v>主日奉獻</v>
      </c>
      <c r="H453" s="56" t="e">
        <f>VLOOKUP(D453,姓名檔!$A$2:G$159,5,0)</f>
        <v>#N/A</v>
      </c>
      <c r="I453" s="56"/>
      <c r="J453" s="141"/>
      <c r="K453" s="56"/>
      <c r="L453" s="57"/>
    </row>
    <row r="454" spans="1:12" x14ac:dyDescent="0.3">
      <c r="A454" s="55">
        <v>46299</v>
      </c>
      <c r="B454" s="56">
        <f t="shared" si="38"/>
        <v>10</v>
      </c>
      <c r="C454" s="56">
        <f t="shared" si="37"/>
        <v>41</v>
      </c>
      <c r="D454" s="56"/>
      <c r="E454" s="56" t="e">
        <f>VLOOKUP(D454,姓名檔!$A$2:$G$159,4,0)</f>
        <v>#N/A</v>
      </c>
      <c r="F454" s="56" t="s">
        <v>15</v>
      </c>
      <c r="G454" s="56" t="str">
        <f>VLOOKUP(F454,姓名檔!$H$3:$I$18,2)</f>
        <v>主日奉獻</v>
      </c>
      <c r="H454" s="56" t="e">
        <f>VLOOKUP(D454,姓名檔!$A$2:G$159,5,0)</f>
        <v>#N/A</v>
      </c>
      <c r="I454" s="56"/>
      <c r="J454" s="141"/>
      <c r="K454" s="56"/>
      <c r="L454" s="57"/>
    </row>
    <row r="455" spans="1:12" x14ac:dyDescent="0.3">
      <c r="A455" s="55">
        <v>46299</v>
      </c>
      <c r="B455" s="56">
        <f t="shared" si="38"/>
        <v>10</v>
      </c>
      <c r="C455" s="56">
        <f t="shared" si="37"/>
        <v>41</v>
      </c>
      <c r="D455" s="56"/>
      <c r="E455" s="56" t="e">
        <f>VLOOKUP(D455,姓名檔!$A$2:$G$159,4,0)</f>
        <v>#N/A</v>
      </c>
      <c r="F455" s="56" t="s">
        <v>15</v>
      </c>
      <c r="G455" s="56" t="str">
        <f>VLOOKUP(F455,姓名檔!$H$3:$I$18,2)</f>
        <v>主日奉獻</v>
      </c>
      <c r="H455" s="56" t="e">
        <f>VLOOKUP(D455,姓名檔!$A$2:G$159,5,0)</f>
        <v>#N/A</v>
      </c>
      <c r="I455" s="56"/>
      <c r="J455" s="141"/>
      <c r="K455" s="56"/>
      <c r="L455" s="57"/>
    </row>
    <row r="456" spans="1:12" x14ac:dyDescent="0.3">
      <c r="A456" s="55">
        <v>46299</v>
      </c>
      <c r="B456" s="56">
        <f t="shared" si="38"/>
        <v>10</v>
      </c>
      <c r="C456" s="56">
        <f t="shared" si="37"/>
        <v>41</v>
      </c>
      <c r="D456" s="56"/>
      <c r="E456" s="56" t="e">
        <f>VLOOKUP(D456,姓名檔!$A$2:$G$159,4,0)</f>
        <v>#N/A</v>
      </c>
      <c r="F456" s="56" t="s">
        <v>15</v>
      </c>
      <c r="G456" s="56" t="str">
        <f>VLOOKUP(F456,姓名檔!$H$3:$I$18,2)</f>
        <v>主日奉獻</v>
      </c>
      <c r="H456" s="56" t="e">
        <f>VLOOKUP(D456,姓名檔!$A$2:G$159,5,0)</f>
        <v>#N/A</v>
      </c>
      <c r="I456" s="56"/>
      <c r="J456" s="141"/>
      <c r="K456" s="56"/>
      <c r="L456" s="57"/>
    </row>
    <row r="457" spans="1:12" x14ac:dyDescent="0.3">
      <c r="A457" s="55">
        <v>46299</v>
      </c>
      <c r="B457" s="56">
        <f t="shared" si="38"/>
        <v>10</v>
      </c>
      <c r="C457" s="56">
        <f t="shared" si="37"/>
        <v>41</v>
      </c>
      <c r="D457" s="56"/>
      <c r="E457" s="56" t="e">
        <f>VLOOKUP(D457,姓名檔!$A$2:$G$159,4,0)</f>
        <v>#N/A</v>
      </c>
      <c r="F457" s="56" t="s">
        <v>15</v>
      </c>
      <c r="G457" s="56" t="str">
        <f>VLOOKUP(F457,姓名檔!$H$3:$I$18,2)</f>
        <v>主日奉獻</v>
      </c>
      <c r="H457" s="56" t="e">
        <f>VLOOKUP(D457,姓名檔!$A$2:G$159,5,0)</f>
        <v>#N/A</v>
      </c>
      <c r="I457" s="56"/>
      <c r="J457" s="141"/>
      <c r="K457" s="56"/>
      <c r="L457" s="57"/>
    </row>
    <row r="458" spans="1:12" x14ac:dyDescent="0.3">
      <c r="A458" s="55">
        <v>46299</v>
      </c>
      <c r="B458" s="56">
        <f t="shared" si="38"/>
        <v>10</v>
      </c>
      <c r="C458" s="56">
        <f t="shared" si="37"/>
        <v>41</v>
      </c>
      <c r="D458" s="56"/>
      <c r="E458" s="56" t="e">
        <f>VLOOKUP(D458,姓名檔!$A$2:$G$159,4,0)</f>
        <v>#N/A</v>
      </c>
      <c r="F458" s="56" t="s">
        <v>15</v>
      </c>
      <c r="G458" s="56" t="str">
        <f>VLOOKUP(F458,姓名檔!$H$3:$I$18,2)</f>
        <v>主日奉獻</v>
      </c>
      <c r="H458" s="56" t="e">
        <f>VLOOKUP(D458,姓名檔!$A$2:G$159,5,0)</f>
        <v>#N/A</v>
      </c>
      <c r="I458" s="56"/>
      <c r="J458" s="141"/>
      <c r="K458" s="56"/>
      <c r="L458" s="57"/>
    </row>
    <row r="459" spans="1:12" x14ac:dyDescent="0.3">
      <c r="A459" s="55">
        <v>46299</v>
      </c>
      <c r="B459" s="56">
        <f t="shared" si="38"/>
        <v>10</v>
      </c>
      <c r="C459" s="56">
        <f t="shared" si="37"/>
        <v>41</v>
      </c>
      <c r="D459" s="56"/>
      <c r="E459" s="56" t="e">
        <f>VLOOKUP(D459,姓名檔!$A$2:$G$159,4,0)</f>
        <v>#N/A</v>
      </c>
      <c r="F459" s="56" t="s">
        <v>15</v>
      </c>
      <c r="G459" s="56" t="str">
        <f>VLOOKUP(F459,姓名檔!$H$3:$I$18,2)</f>
        <v>主日奉獻</v>
      </c>
      <c r="H459" s="56" t="e">
        <f>VLOOKUP(D459,姓名檔!$A$2:G$159,5,0)</f>
        <v>#N/A</v>
      </c>
      <c r="I459" s="56"/>
      <c r="J459" s="141"/>
      <c r="K459" s="56"/>
      <c r="L459" s="57"/>
    </row>
    <row r="460" spans="1:12" x14ac:dyDescent="0.3">
      <c r="A460" s="55">
        <v>46299</v>
      </c>
      <c r="B460" s="56">
        <f t="shared" si="38"/>
        <v>10</v>
      </c>
      <c r="C460" s="56">
        <f t="shared" si="37"/>
        <v>41</v>
      </c>
      <c r="D460" s="56"/>
      <c r="E460" s="56" t="e">
        <f>VLOOKUP(D460,姓名檔!$A$2:$G$159,4,0)</f>
        <v>#N/A</v>
      </c>
      <c r="F460" s="56" t="s">
        <v>15</v>
      </c>
      <c r="G460" s="56" t="str">
        <f>VLOOKUP(F460,姓名檔!$H$3:$I$18,2)</f>
        <v>主日奉獻</v>
      </c>
      <c r="H460" s="56" t="e">
        <f>VLOOKUP(D460,姓名檔!$A$2:G$159,5,0)</f>
        <v>#N/A</v>
      </c>
      <c r="I460" s="56"/>
      <c r="J460" s="141"/>
      <c r="K460" s="56"/>
      <c r="L460" s="57"/>
    </row>
    <row r="461" spans="1:12" x14ac:dyDescent="0.3">
      <c r="A461" s="55">
        <v>46299</v>
      </c>
      <c r="B461" s="56">
        <f t="shared" si="38"/>
        <v>10</v>
      </c>
      <c r="C461" s="56">
        <f t="shared" si="37"/>
        <v>41</v>
      </c>
      <c r="D461" s="56"/>
      <c r="E461" s="56" t="e">
        <f>VLOOKUP(D461,姓名檔!$A$2:$G$159,4,0)</f>
        <v>#N/A</v>
      </c>
      <c r="F461" s="56" t="s">
        <v>15</v>
      </c>
      <c r="G461" s="56" t="str">
        <f>VLOOKUP(F461,姓名檔!$H$3:$I$18,2)</f>
        <v>主日奉獻</v>
      </c>
      <c r="H461" s="56" t="e">
        <f>VLOOKUP(D461,姓名檔!$A$2:G$159,5,0)</f>
        <v>#N/A</v>
      </c>
      <c r="I461" s="56"/>
      <c r="J461" s="141"/>
      <c r="K461" s="56"/>
      <c r="L461" s="57"/>
    </row>
    <row r="462" spans="1:12" x14ac:dyDescent="0.3">
      <c r="A462" s="55">
        <v>46299</v>
      </c>
      <c r="B462" s="56">
        <f t="shared" si="38"/>
        <v>10</v>
      </c>
      <c r="C462" s="56">
        <f t="shared" si="37"/>
        <v>41</v>
      </c>
      <c r="D462" s="56"/>
      <c r="E462" s="56" t="e">
        <f>VLOOKUP(D462,姓名檔!$A$2:$G$159,4,0)</f>
        <v>#N/A</v>
      </c>
      <c r="F462" s="56" t="s">
        <v>15</v>
      </c>
      <c r="G462" s="56" t="str">
        <f>VLOOKUP(F462,姓名檔!$H$3:$I$18,2)</f>
        <v>主日奉獻</v>
      </c>
      <c r="H462" s="56" t="e">
        <f>VLOOKUP(D462,姓名檔!$A$2:G$159,5,0)</f>
        <v>#N/A</v>
      </c>
      <c r="I462" s="56"/>
      <c r="J462" s="141"/>
      <c r="K462" s="56"/>
      <c r="L462" s="57"/>
    </row>
    <row r="463" spans="1:12" x14ac:dyDescent="0.3">
      <c r="A463" s="55">
        <v>46299</v>
      </c>
      <c r="B463" s="56">
        <f t="shared" si="38"/>
        <v>10</v>
      </c>
      <c r="C463" s="56">
        <f t="shared" si="37"/>
        <v>41</v>
      </c>
      <c r="D463" s="56"/>
      <c r="E463" s="56" t="e">
        <f>VLOOKUP(D463,姓名檔!$A$2:$G$159,4,0)</f>
        <v>#N/A</v>
      </c>
      <c r="F463" s="56" t="s">
        <v>15</v>
      </c>
      <c r="G463" s="56" t="str">
        <f>VLOOKUP(F463,姓名檔!$H$3:$I$18,2)</f>
        <v>主日奉獻</v>
      </c>
      <c r="H463" s="56" t="e">
        <f>VLOOKUP(D463,姓名檔!$A$2:G$159,5,0)</f>
        <v>#N/A</v>
      </c>
      <c r="I463" s="56"/>
      <c r="J463" s="141"/>
      <c r="K463" s="56"/>
      <c r="L463" s="57"/>
    </row>
    <row r="464" spans="1:12" x14ac:dyDescent="0.3">
      <c r="A464" s="55">
        <v>46299</v>
      </c>
      <c r="B464" s="56">
        <f t="shared" si="38"/>
        <v>10</v>
      </c>
      <c r="C464" s="56">
        <f t="shared" si="37"/>
        <v>41</v>
      </c>
      <c r="D464" s="56"/>
      <c r="E464" s="56" t="e">
        <f>VLOOKUP(D464,姓名檔!$A$2:$G$159,4,0)</f>
        <v>#N/A</v>
      </c>
      <c r="F464" s="56" t="s">
        <v>15</v>
      </c>
      <c r="G464" s="56" t="str">
        <f>VLOOKUP(F464,姓名檔!$H$3:$I$18,2)</f>
        <v>主日奉獻</v>
      </c>
      <c r="H464" s="56" t="e">
        <f>VLOOKUP(D464,姓名檔!$A$2:G$159,5,0)</f>
        <v>#N/A</v>
      </c>
      <c r="I464" s="56"/>
      <c r="J464" s="141"/>
      <c r="K464" s="56"/>
      <c r="L464" s="57"/>
    </row>
    <row r="465" spans="1:12" x14ac:dyDescent="0.3">
      <c r="A465" s="55">
        <v>46299</v>
      </c>
      <c r="B465" s="56">
        <f t="shared" si="38"/>
        <v>10</v>
      </c>
      <c r="C465" s="56">
        <f t="shared" si="37"/>
        <v>41</v>
      </c>
      <c r="D465" s="56"/>
      <c r="E465" s="56" t="e">
        <f>VLOOKUP(D465,姓名檔!$A$2:$G$159,4,0)</f>
        <v>#N/A</v>
      </c>
      <c r="F465" s="56" t="s">
        <v>15</v>
      </c>
      <c r="G465" s="56" t="str">
        <f>VLOOKUP(F465,姓名檔!$H$3:$I$18,2)</f>
        <v>主日奉獻</v>
      </c>
      <c r="H465" s="56" t="e">
        <f>VLOOKUP(D465,姓名檔!$A$2:G$159,5,0)</f>
        <v>#N/A</v>
      </c>
      <c r="I465" s="56"/>
      <c r="J465" s="141"/>
      <c r="K465" s="56"/>
      <c r="L465" s="57"/>
    </row>
    <row r="466" spans="1:12" x14ac:dyDescent="0.3">
      <c r="A466" s="55">
        <v>46299</v>
      </c>
      <c r="B466" s="56">
        <f t="shared" si="38"/>
        <v>10</v>
      </c>
      <c r="C466" s="56">
        <f t="shared" si="37"/>
        <v>41</v>
      </c>
      <c r="D466" s="56"/>
      <c r="E466" s="56" t="e">
        <f>VLOOKUP(D466,姓名檔!$A$2:$G$159,4,0)</f>
        <v>#N/A</v>
      </c>
      <c r="F466" s="56" t="s">
        <v>15</v>
      </c>
      <c r="G466" s="56" t="str">
        <f>VLOOKUP(F466,姓名檔!$H$3:$I$18,2)</f>
        <v>主日奉獻</v>
      </c>
      <c r="H466" s="56" t="e">
        <f>VLOOKUP(D466,姓名檔!$A$2:G$159,5,0)</f>
        <v>#N/A</v>
      </c>
      <c r="I466" s="56"/>
      <c r="J466" s="141"/>
      <c r="K466" s="56"/>
      <c r="L466" s="57"/>
    </row>
    <row r="467" spans="1:12" x14ac:dyDescent="0.3">
      <c r="A467" s="55">
        <v>46299</v>
      </c>
      <c r="B467" s="56">
        <f t="shared" si="38"/>
        <v>10</v>
      </c>
      <c r="C467" s="56">
        <f t="shared" si="37"/>
        <v>41</v>
      </c>
      <c r="D467" s="56"/>
      <c r="E467" s="56" t="e">
        <f>VLOOKUP(D467,姓名檔!$A$2:$G$159,4,0)</f>
        <v>#N/A</v>
      </c>
      <c r="F467" s="56" t="s">
        <v>15</v>
      </c>
      <c r="G467" s="56" t="str">
        <f>VLOOKUP(F467,姓名檔!$H$3:$I$18,2)</f>
        <v>主日奉獻</v>
      </c>
      <c r="H467" s="56" t="e">
        <f>VLOOKUP(D467,姓名檔!$A$2:G$159,5,0)</f>
        <v>#N/A</v>
      </c>
      <c r="I467" s="56"/>
      <c r="J467" s="141"/>
      <c r="K467" s="56"/>
      <c r="L467" s="57"/>
    </row>
    <row r="468" spans="1:12" x14ac:dyDescent="0.3">
      <c r="A468" s="55">
        <v>46299</v>
      </c>
      <c r="B468" s="56">
        <f t="shared" si="38"/>
        <v>10</v>
      </c>
      <c r="C468" s="56">
        <f t="shared" si="37"/>
        <v>41</v>
      </c>
      <c r="D468" s="56"/>
      <c r="E468" s="56" t="e">
        <f>VLOOKUP(D468,姓名檔!$A$2:$G$159,4,0)</f>
        <v>#N/A</v>
      </c>
      <c r="F468" s="56" t="s">
        <v>15</v>
      </c>
      <c r="G468" s="56" t="str">
        <f>VLOOKUP(F468,姓名檔!$H$3:$I$18,2)</f>
        <v>主日奉獻</v>
      </c>
      <c r="H468" s="56" t="e">
        <f>VLOOKUP(D468,姓名檔!$A$2:G$159,5,0)</f>
        <v>#N/A</v>
      </c>
      <c r="I468" s="56"/>
      <c r="J468" s="141"/>
      <c r="K468" s="56"/>
      <c r="L468" s="57"/>
    </row>
    <row r="469" spans="1:12" x14ac:dyDescent="0.3">
      <c r="A469" s="55">
        <v>46299</v>
      </c>
      <c r="B469" s="56">
        <f t="shared" si="38"/>
        <v>10</v>
      </c>
      <c r="C469" s="56">
        <f t="shared" si="37"/>
        <v>41</v>
      </c>
      <c r="D469" s="56"/>
      <c r="E469" s="56" t="e">
        <f>VLOOKUP(D469,姓名檔!$A$2:$G$159,4,0)</f>
        <v>#N/A</v>
      </c>
      <c r="F469" s="56" t="s">
        <v>15</v>
      </c>
      <c r="G469" s="56" t="str">
        <f>VLOOKUP(F469,姓名檔!$H$3:$I$18,2)</f>
        <v>主日奉獻</v>
      </c>
      <c r="H469" s="56" t="e">
        <f>VLOOKUP(D469,姓名檔!$A$2:G$159,5,0)</f>
        <v>#N/A</v>
      </c>
      <c r="I469" s="56"/>
      <c r="J469" s="141"/>
      <c r="K469" s="56"/>
      <c r="L469" s="57"/>
    </row>
    <row r="470" spans="1:12" x14ac:dyDescent="0.3">
      <c r="A470" s="55">
        <v>46299</v>
      </c>
      <c r="B470" s="56">
        <f t="shared" si="38"/>
        <v>10</v>
      </c>
      <c r="C470" s="56">
        <f t="shared" si="37"/>
        <v>41</v>
      </c>
      <c r="D470" s="56"/>
      <c r="E470" s="56" t="e">
        <f>VLOOKUP(D470,姓名檔!$A$2:$G$159,4,0)</f>
        <v>#N/A</v>
      </c>
      <c r="F470" s="56" t="s">
        <v>15</v>
      </c>
      <c r="G470" s="56" t="str">
        <f>VLOOKUP(F470,姓名檔!$H$3:$I$18,2)</f>
        <v>主日奉獻</v>
      </c>
      <c r="H470" s="56" t="e">
        <f>VLOOKUP(D470,姓名檔!$A$2:G$159,5,0)</f>
        <v>#N/A</v>
      </c>
      <c r="I470" s="56"/>
      <c r="J470" s="141"/>
      <c r="K470" s="56"/>
      <c r="L470" s="57"/>
    </row>
    <row r="471" spans="1:12" x14ac:dyDescent="0.3">
      <c r="A471" s="55">
        <v>46299</v>
      </c>
      <c r="B471" s="56">
        <f t="shared" si="38"/>
        <v>10</v>
      </c>
      <c r="C471" s="56">
        <f t="shared" si="37"/>
        <v>41</v>
      </c>
      <c r="D471" s="56"/>
      <c r="E471" s="56" t="e">
        <f>VLOOKUP(D471,姓名檔!$A$2:$G$159,4,0)</f>
        <v>#N/A</v>
      </c>
      <c r="F471" s="56" t="s">
        <v>15</v>
      </c>
      <c r="G471" s="56" t="str">
        <f>VLOOKUP(F471,姓名檔!$H$3:$I$18,2)</f>
        <v>主日奉獻</v>
      </c>
      <c r="H471" s="56" t="e">
        <f>VLOOKUP(D471,姓名檔!$A$2:G$159,5,0)</f>
        <v>#N/A</v>
      </c>
      <c r="I471" s="56"/>
      <c r="J471" s="141"/>
      <c r="K471" s="56"/>
      <c r="L471" s="57"/>
    </row>
    <row r="472" spans="1:12" x14ac:dyDescent="0.3">
      <c r="A472" s="55">
        <v>46299</v>
      </c>
      <c r="B472" s="56">
        <f t="shared" si="38"/>
        <v>10</v>
      </c>
      <c r="C472" s="56">
        <f t="shared" si="37"/>
        <v>41</v>
      </c>
      <c r="D472" s="56"/>
      <c r="E472" s="56" t="e">
        <f>VLOOKUP(D472,姓名檔!$A$2:$G$159,4,0)</f>
        <v>#N/A</v>
      </c>
      <c r="F472" s="56" t="s">
        <v>15</v>
      </c>
      <c r="G472" s="56" t="str">
        <f>VLOOKUP(F472,姓名檔!$H$3:$I$18,2)</f>
        <v>主日奉獻</v>
      </c>
      <c r="H472" s="56" t="e">
        <f>VLOOKUP(D472,姓名檔!$A$2:G$159,5,0)</f>
        <v>#N/A</v>
      </c>
      <c r="I472" s="56"/>
      <c r="J472" s="141"/>
      <c r="K472" s="56"/>
      <c r="L472" s="57"/>
    </row>
    <row r="473" spans="1:12" x14ac:dyDescent="0.3">
      <c r="A473" s="55">
        <v>46299</v>
      </c>
      <c r="B473" s="56">
        <f t="shared" si="38"/>
        <v>10</v>
      </c>
      <c r="C473" s="56">
        <f t="shared" si="37"/>
        <v>41</v>
      </c>
      <c r="D473" s="56"/>
      <c r="E473" s="56" t="e">
        <f>VLOOKUP(D473,姓名檔!$A$2:$G$159,4,0)</f>
        <v>#N/A</v>
      </c>
      <c r="F473" s="56" t="s">
        <v>15</v>
      </c>
      <c r="G473" s="56" t="str">
        <f>VLOOKUP(F473,姓名檔!$H$3:$I$18,2)</f>
        <v>主日奉獻</v>
      </c>
      <c r="H473" s="56" t="e">
        <f>VLOOKUP(D473,姓名檔!$A$2:G$159,5,0)</f>
        <v>#N/A</v>
      </c>
      <c r="I473" s="56"/>
      <c r="J473" s="141"/>
      <c r="K473" s="56"/>
      <c r="L473" s="57"/>
    </row>
    <row r="474" spans="1:12" x14ac:dyDescent="0.3">
      <c r="A474" s="55">
        <v>46299</v>
      </c>
      <c r="B474" s="56">
        <f t="shared" si="38"/>
        <v>10</v>
      </c>
      <c r="C474" s="56">
        <f t="shared" si="37"/>
        <v>41</v>
      </c>
      <c r="D474" s="56"/>
      <c r="E474" s="56" t="e">
        <f>VLOOKUP(D474,姓名檔!$A$2:$G$159,4,0)</f>
        <v>#N/A</v>
      </c>
      <c r="F474" s="56" t="s">
        <v>15</v>
      </c>
      <c r="G474" s="56" t="str">
        <f>VLOOKUP(F474,姓名檔!$H$3:$I$18,2)</f>
        <v>主日奉獻</v>
      </c>
      <c r="H474" s="56" t="e">
        <f>VLOOKUP(D474,姓名檔!$A$2:G$159,5,0)</f>
        <v>#N/A</v>
      </c>
      <c r="I474" s="56"/>
      <c r="J474" s="141"/>
      <c r="K474" s="56"/>
      <c r="L474" s="57"/>
    </row>
    <row r="475" spans="1:12" x14ac:dyDescent="0.3">
      <c r="A475" s="55">
        <v>46299</v>
      </c>
      <c r="B475" s="56">
        <f t="shared" si="38"/>
        <v>10</v>
      </c>
      <c r="C475" s="56">
        <f t="shared" si="37"/>
        <v>41</v>
      </c>
      <c r="D475" s="56"/>
      <c r="E475" s="56" t="e">
        <f>VLOOKUP(D475,姓名檔!$A$2:$G$159,4,0)</f>
        <v>#N/A</v>
      </c>
      <c r="F475" s="56" t="s">
        <v>15</v>
      </c>
      <c r="G475" s="56" t="str">
        <f>VLOOKUP(F475,姓名檔!$H$3:$I$18,2)</f>
        <v>主日奉獻</v>
      </c>
      <c r="H475" s="56" t="e">
        <f>VLOOKUP(D475,姓名檔!$A$2:G$159,5,0)</f>
        <v>#N/A</v>
      </c>
      <c r="I475" s="56"/>
      <c r="J475" s="141"/>
      <c r="K475" s="56"/>
      <c r="L475" s="57"/>
    </row>
    <row r="476" spans="1:12" x14ac:dyDescent="0.3">
      <c r="A476" s="55">
        <v>46299</v>
      </c>
      <c r="B476" s="56">
        <f t="shared" si="38"/>
        <v>10</v>
      </c>
      <c r="C476" s="56">
        <f t="shared" si="37"/>
        <v>41</v>
      </c>
      <c r="D476" s="56"/>
      <c r="E476" s="56" t="e">
        <f>VLOOKUP(D476,姓名檔!$A$2:$G$159,4,0)</f>
        <v>#N/A</v>
      </c>
      <c r="F476" s="56" t="s">
        <v>15</v>
      </c>
      <c r="G476" s="56" t="str">
        <f>VLOOKUP(F476,姓名檔!$H$3:$I$18,2)</f>
        <v>主日奉獻</v>
      </c>
      <c r="H476" s="56" t="e">
        <f>VLOOKUP(D476,姓名檔!$A$2:G$159,5,0)</f>
        <v>#N/A</v>
      </c>
      <c r="I476" s="56"/>
      <c r="J476" s="141"/>
      <c r="K476" s="56"/>
      <c r="L476" s="57"/>
    </row>
    <row r="477" spans="1:12" x14ac:dyDescent="0.3">
      <c r="A477" s="55">
        <v>46299</v>
      </c>
      <c r="B477" s="56">
        <f t="shared" si="38"/>
        <v>10</v>
      </c>
      <c r="C477" s="56">
        <f t="shared" si="37"/>
        <v>41</v>
      </c>
      <c r="D477" s="56"/>
      <c r="E477" s="56" t="e">
        <f>VLOOKUP(D477,姓名檔!$A$2:$G$159,4,0)</f>
        <v>#N/A</v>
      </c>
      <c r="F477" s="56" t="s">
        <v>15</v>
      </c>
      <c r="G477" s="56" t="str">
        <f>VLOOKUP(F477,姓名檔!$H$3:$I$18,2)</f>
        <v>主日奉獻</v>
      </c>
      <c r="H477" s="56" t="e">
        <f>VLOOKUP(D477,姓名檔!$A$2:G$159,5,0)</f>
        <v>#N/A</v>
      </c>
      <c r="I477" s="56"/>
      <c r="J477" s="141"/>
      <c r="K477" s="56"/>
      <c r="L477" s="57"/>
    </row>
    <row r="478" spans="1:12" x14ac:dyDescent="0.3">
      <c r="A478" s="55">
        <v>46299</v>
      </c>
      <c r="B478" s="56">
        <f t="shared" si="38"/>
        <v>10</v>
      </c>
      <c r="C478" s="56">
        <f t="shared" si="37"/>
        <v>41</v>
      </c>
      <c r="D478" s="56"/>
      <c r="E478" s="56" t="e">
        <f>VLOOKUP(D478,姓名檔!$A$2:$G$159,4,0)</f>
        <v>#N/A</v>
      </c>
      <c r="F478" s="56" t="s">
        <v>15</v>
      </c>
      <c r="G478" s="56" t="str">
        <f>VLOOKUP(F478,姓名檔!$H$3:$I$18,2)</f>
        <v>主日奉獻</v>
      </c>
      <c r="H478" s="56" t="e">
        <f>VLOOKUP(D478,姓名檔!$A$2:G$159,5,0)</f>
        <v>#N/A</v>
      </c>
      <c r="I478" s="56"/>
      <c r="J478" s="141"/>
      <c r="K478" s="56"/>
      <c r="L478" s="57"/>
    </row>
    <row r="479" spans="1:12" x14ac:dyDescent="0.3">
      <c r="A479" s="55">
        <v>46299</v>
      </c>
      <c r="B479" s="56">
        <f t="shared" si="38"/>
        <v>10</v>
      </c>
      <c r="C479" s="56">
        <f t="shared" si="37"/>
        <v>41</v>
      </c>
      <c r="D479" s="56"/>
      <c r="E479" s="56" t="e">
        <f>VLOOKUP(D479,姓名檔!$A$2:$G$159,4,0)</f>
        <v>#N/A</v>
      </c>
      <c r="F479" s="56" t="s">
        <v>15</v>
      </c>
      <c r="G479" s="56" t="str">
        <f>VLOOKUP(F479,姓名檔!$H$3:$I$18,2)</f>
        <v>主日奉獻</v>
      </c>
      <c r="H479" s="56" t="e">
        <f>VLOOKUP(D479,姓名檔!$A$2:G$159,5,0)</f>
        <v>#N/A</v>
      </c>
      <c r="I479" s="56"/>
      <c r="J479" s="141"/>
      <c r="K479" s="56"/>
      <c r="L479" s="57"/>
    </row>
    <row r="480" spans="1:12" x14ac:dyDescent="0.3">
      <c r="A480" s="55">
        <v>46299</v>
      </c>
      <c r="B480" s="56">
        <f t="shared" si="38"/>
        <v>10</v>
      </c>
      <c r="C480" s="56">
        <f t="shared" si="37"/>
        <v>41</v>
      </c>
      <c r="D480" s="56"/>
      <c r="E480" s="56" t="e">
        <f>VLOOKUP(D480,姓名檔!$A$2:$G$159,4,0)</f>
        <v>#N/A</v>
      </c>
      <c r="F480" s="56" t="s">
        <v>15</v>
      </c>
      <c r="G480" s="56" t="str">
        <f>VLOOKUP(F480,姓名檔!$H$3:$I$18,2)</f>
        <v>主日奉獻</v>
      </c>
      <c r="H480" s="56" t="e">
        <f>VLOOKUP(D480,姓名檔!$A$2:G$159,5,0)</f>
        <v>#N/A</v>
      </c>
      <c r="I480" s="56"/>
      <c r="J480" s="141"/>
      <c r="K480" s="56"/>
      <c r="L480" s="57"/>
    </row>
    <row r="481" spans="1:12" x14ac:dyDescent="0.3">
      <c r="A481" s="55">
        <v>46299</v>
      </c>
      <c r="B481" s="56">
        <f t="shared" si="38"/>
        <v>10</v>
      </c>
      <c r="C481" s="56">
        <f t="shared" si="37"/>
        <v>41</v>
      </c>
      <c r="D481" s="56"/>
      <c r="E481" s="56" t="e">
        <f>VLOOKUP(D481,姓名檔!$A$2:$G$159,4,0)</f>
        <v>#N/A</v>
      </c>
      <c r="F481" s="56" t="s">
        <v>15</v>
      </c>
      <c r="G481" s="56" t="str">
        <f>VLOOKUP(F481,姓名檔!$H$3:$I$18,2)</f>
        <v>主日奉獻</v>
      </c>
      <c r="H481" s="56" t="e">
        <f>VLOOKUP(D481,姓名檔!$A$2:G$159,5,0)</f>
        <v>#N/A</v>
      </c>
      <c r="I481" s="56"/>
      <c r="J481" s="141"/>
      <c r="K481" s="56"/>
      <c r="L481" s="57"/>
    </row>
    <row r="482" spans="1:12" x14ac:dyDescent="0.3">
      <c r="A482" s="55">
        <v>46299</v>
      </c>
      <c r="B482" s="56">
        <f t="shared" si="38"/>
        <v>10</v>
      </c>
      <c r="C482" s="56">
        <f t="shared" si="37"/>
        <v>41</v>
      </c>
      <c r="D482" s="56"/>
      <c r="E482" s="56" t="e">
        <f>VLOOKUP(D482,姓名檔!$A$2:$G$159,4,0)</f>
        <v>#N/A</v>
      </c>
      <c r="F482" s="56" t="s">
        <v>15</v>
      </c>
      <c r="G482" s="56" t="str">
        <f>VLOOKUP(F482,姓名檔!$H$3:$I$18,2)</f>
        <v>主日奉獻</v>
      </c>
      <c r="H482" s="56" t="e">
        <f>VLOOKUP(D482,姓名檔!$A$2:G$159,5,0)</f>
        <v>#N/A</v>
      </c>
      <c r="I482" s="56"/>
      <c r="J482" s="141"/>
      <c r="K482" s="56"/>
      <c r="L482" s="57"/>
    </row>
    <row r="483" spans="1:12" x14ac:dyDescent="0.3">
      <c r="A483" s="55">
        <v>46299</v>
      </c>
      <c r="B483" s="56">
        <f t="shared" si="38"/>
        <v>10</v>
      </c>
      <c r="C483" s="56">
        <f t="shared" si="37"/>
        <v>41</v>
      </c>
      <c r="D483" s="56"/>
      <c r="E483" s="56" t="e">
        <f>VLOOKUP(D483,姓名檔!$A$2:$G$159,4,0)</f>
        <v>#N/A</v>
      </c>
      <c r="F483" s="56" t="s">
        <v>15</v>
      </c>
      <c r="G483" s="56" t="str">
        <f>VLOOKUP(F483,姓名檔!$H$3:$I$18,2)</f>
        <v>主日奉獻</v>
      </c>
      <c r="H483" s="56" t="e">
        <f>VLOOKUP(D483,姓名檔!$A$2:G$159,5,0)</f>
        <v>#N/A</v>
      </c>
      <c r="I483" s="56"/>
      <c r="J483" s="141"/>
      <c r="K483" s="56"/>
      <c r="L483" s="57"/>
    </row>
    <row r="484" spans="1:12" x14ac:dyDescent="0.3">
      <c r="A484" s="55">
        <v>46299</v>
      </c>
      <c r="B484" s="56">
        <f t="shared" si="38"/>
        <v>10</v>
      </c>
      <c r="C484" s="56">
        <f t="shared" si="37"/>
        <v>41</v>
      </c>
      <c r="D484" s="56"/>
      <c r="E484" s="56" t="e">
        <f>VLOOKUP(D484,姓名檔!$A$2:$G$159,4,0)</f>
        <v>#N/A</v>
      </c>
      <c r="F484" s="56" t="s">
        <v>15</v>
      </c>
      <c r="G484" s="56" t="str">
        <f>VLOOKUP(F484,姓名檔!$H$3:$I$18,2)</f>
        <v>主日奉獻</v>
      </c>
      <c r="H484" s="56" t="e">
        <f>VLOOKUP(D484,姓名檔!$A$2:G$159,5,0)</f>
        <v>#N/A</v>
      </c>
      <c r="I484" s="56"/>
      <c r="J484" s="141"/>
      <c r="K484" s="56"/>
      <c r="L484" s="57"/>
    </row>
    <row r="485" spans="1:12" x14ac:dyDescent="0.3">
      <c r="A485" s="55">
        <v>46299</v>
      </c>
      <c r="B485" s="56">
        <f t="shared" si="38"/>
        <v>10</v>
      </c>
      <c r="C485" s="56">
        <f t="shared" si="37"/>
        <v>41</v>
      </c>
      <c r="D485" s="56"/>
      <c r="E485" s="56" t="e">
        <f>VLOOKUP(D485,姓名檔!$A$2:$G$159,4,0)</f>
        <v>#N/A</v>
      </c>
      <c r="F485" s="56" t="s">
        <v>15</v>
      </c>
      <c r="G485" s="56" t="str">
        <f>VLOOKUP(F485,姓名檔!$H$3:$I$18,2)</f>
        <v>主日奉獻</v>
      </c>
      <c r="H485" s="56" t="e">
        <f>VLOOKUP(D485,姓名檔!$A$2:G$159,5,0)</f>
        <v>#N/A</v>
      </c>
      <c r="I485" s="56"/>
      <c r="J485" s="141"/>
      <c r="K485" s="56"/>
      <c r="L485" s="57"/>
    </row>
    <row r="486" spans="1:12" x14ac:dyDescent="0.3">
      <c r="A486" s="55">
        <v>46299</v>
      </c>
      <c r="B486" s="56">
        <f t="shared" si="38"/>
        <v>10</v>
      </c>
      <c r="C486" s="56">
        <f t="shared" si="37"/>
        <v>41</v>
      </c>
      <c r="D486" s="56"/>
      <c r="E486" s="56" t="e">
        <f>VLOOKUP(D486,姓名檔!$A$2:$G$159,4,0)</f>
        <v>#N/A</v>
      </c>
      <c r="F486" s="56" t="s">
        <v>15</v>
      </c>
      <c r="G486" s="56" t="str">
        <f>VLOOKUP(F486,姓名檔!$H$3:$I$18,2)</f>
        <v>主日奉獻</v>
      </c>
      <c r="H486" s="56" t="e">
        <f>VLOOKUP(D486,姓名檔!$A$2:G$159,5,0)</f>
        <v>#N/A</v>
      </c>
      <c r="I486" s="56"/>
      <c r="J486" s="141"/>
      <c r="K486" s="56"/>
      <c r="L486" s="57"/>
    </row>
    <row r="487" spans="1:12" x14ac:dyDescent="0.3">
      <c r="A487" s="55">
        <v>46299</v>
      </c>
      <c r="B487" s="56">
        <f t="shared" si="38"/>
        <v>10</v>
      </c>
      <c r="C487" s="56">
        <f t="shared" si="37"/>
        <v>41</v>
      </c>
      <c r="D487" s="56"/>
      <c r="E487" s="56" t="e">
        <f>VLOOKUP(D487,姓名檔!$A$2:$G$159,4,0)</f>
        <v>#N/A</v>
      </c>
      <c r="F487" s="56" t="s">
        <v>15</v>
      </c>
      <c r="G487" s="56" t="str">
        <f>VLOOKUP(F487,姓名檔!$H$3:$I$18,2)</f>
        <v>主日奉獻</v>
      </c>
      <c r="H487" s="56" t="e">
        <f>VLOOKUP(D487,姓名檔!$A$2:G$159,5,0)</f>
        <v>#N/A</v>
      </c>
      <c r="I487" s="56"/>
      <c r="J487" s="141"/>
      <c r="K487" s="56"/>
      <c r="L487" s="57"/>
    </row>
    <row r="488" spans="1:12" x14ac:dyDescent="0.3">
      <c r="A488" s="55">
        <v>46299</v>
      </c>
      <c r="B488" s="56">
        <f t="shared" si="38"/>
        <v>10</v>
      </c>
      <c r="C488" s="56">
        <f t="shared" si="37"/>
        <v>41</v>
      </c>
      <c r="D488" s="56"/>
      <c r="E488" s="56" t="e">
        <f>VLOOKUP(D488,姓名檔!$A$2:$G$159,4,0)</f>
        <v>#N/A</v>
      </c>
      <c r="F488" s="56" t="s">
        <v>15</v>
      </c>
      <c r="G488" s="56" t="str">
        <f>VLOOKUP(F488,姓名檔!$H$3:$I$18,2)</f>
        <v>主日奉獻</v>
      </c>
      <c r="H488" s="56" t="e">
        <f>VLOOKUP(D488,姓名檔!$A$2:G$159,5,0)</f>
        <v>#N/A</v>
      </c>
      <c r="I488" s="56"/>
      <c r="J488" s="141"/>
      <c r="K488" s="56"/>
      <c r="L488" s="57"/>
    </row>
    <row r="489" spans="1:12" x14ac:dyDescent="0.3">
      <c r="A489" s="55">
        <v>46299</v>
      </c>
      <c r="B489" s="56">
        <f t="shared" si="38"/>
        <v>10</v>
      </c>
      <c r="C489" s="56">
        <f t="shared" si="37"/>
        <v>41</v>
      </c>
      <c r="D489" s="56"/>
      <c r="E489" s="56" t="e">
        <f>VLOOKUP(D489,姓名檔!$A$2:$G$159,4,0)</f>
        <v>#N/A</v>
      </c>
      <c r="F489" s="56" t="s">
        <v>15</v>
      </c>
      <c r="G489" s="56" t="str">
        <f>VLOOKUP(F489,姓名檔!$H$3:$I$18,2)</f>
        <v>主日奉獻</v>
      </c>
      <c r="H489" s="56" t="e">
        <f>VLOOKUP(D489,姓名檔!$A$2:G$159,5,0)</f>
        <v>#N/A</v>
      </c>
      <c r="I489" s="56"/>
      <c r="J489" s="141"/>
      <c r="K489" s="56"/>
      <c r="L489" s="57"/>
    </row>
    <row r="490" spans="1:12" x14ac:dyDescent="0.3">
      <c r="A490" s="55">
        <v>46299</v>
      </c>
      <c r="B490" s="56">
        <f t="shared" si="38"/>
        <v>10</v>
      </c>
      <c r="C490" s="56">
        <f t="shared" si="37"/>
        <v>41</v>
      </c>
      <c r="D490" s="56"/>
      <c r="E490" s="56" t="e">
        <f>VLOOKUP(D490,姓名檔!$A$2:$G$159,4,0)</f>
        <v>#N/A</v>
      </c>
      <c r="F490" s="56" t="s">
        <v>15</v>
      </c>
      <c r="G490" s="56" t="str">
        <f>VLOOKUP(F490,姓名檔!$H$3:$I$18,2)</f>
        <v>主日奉獻</v>
      </c>
      <c r="H490" s="56" t="e">
        <f>VLOOKUP(D490,姓名檔!$A$2:G$159,5,0)</f>
        <v>#N/A</v>
      </c>
      <c r="I490" s="56"/>
      <c r="J490" s="141"/>
      <c r="K490" s="56"/>
      <c r="L490" s="57"/>
    </row>
    <row r="491" spans="1:12" x14ac:dyDescent="0.3">
      <c r="A491" s="55">
        <v>46299</v>
      </c>
      <c r="B491" s="56">
        <f t="shared" si="38"/>
        <v>10</v>
      </c>
      <c r="C491" s="56">
        <f t="shared" si="37"/>
        <v>41</v>
      </c>
      <c r="D491" s="56"/>
      <c r="E491" s="56" t="e">
        <f>VLOOKUP(D491,姓名檔!$A$2:$G$159,4,0)</f>
        <v>#N/A</v>
      </c>
      <c r="F491" s="56" t="s">
        <v>15</v>
      </c>
      <c r="G491" s="56" t="str">
        <f>VLOOKUP(F491,姓名檔!$H$3:$I$18,2)</f>
        <v>主日奉獻</v>
      </c>
      <c r="H491" s="56" t="e">
        <f>VLOOKUP(D491,姓名檔!$A$2:G$159,5,0)</f>
        <v>#N/A</v>
      </c>
      <c r="I491" s="56"/>
      <c r="J491" s="141"/>
      <c r="K491" s="56"/>
      <c r="L491" s="57"/>
    </row>
    <row r="492" spans="1:12" x14ac:dyDescent="0.3">
      <c r="A492" s="55">
        <v>46299</v>
      </c>
      <c r="B492" s="56">
        <f t="shared" si="38"/>
        <v>10</v>
      </c>
      <c r="C492" s="56">
        <f t="shared" si="37"/>
        <v>41</v>
      </c>
      <c r="D492" s="56"/>
      <c r="E492" s="56" t="e">
        <f>VLOOKUP(D492,姓名檔!$A$2:$G$159,4,0)</f>
        <v>#N/A</v>
      </c>
      <c r="F492" s="56" t="s">
        <v>15</v>
      </c>
      <c r="G492" s="56" t="str">
        <f>VLOOKUP(F492,姓名檔!$H$3:$I$18,2)</f>
        <v>主日奉獻</v>
      </c>
      <c r="H492" s="56" t="e">
        <f>VLOOKUP(D492,姓名檔!$A$2:G$159,5,0)</f>
        <v>#N/A</v>
      </c>
      <c r="I492" s="56"/>
      <c r="J492" s="141"/>
      <c r="K492" s="56"/>
      <c r="L492" s="57"/>
    </row>
    <row r="493" spans="1:12" x14ac:dyDescent="0.3">
      <c r="A493" s="55">
        <v>46299</v>
      </c>
      <c r="B493" s="56">
        <f t="shared" si="38"/>
        <v>10</v>
      </c>
      <c r="C493" s="56">
        <f t="shared" si="37"/>
        <v>41</v>
      </c>
      <c r="D493" s="56"/>
      <c r="E493" s="56" t="e">
        <f>VLOOKUP(D493,姓名檔!$A$2:$G$159,4,0)</f>
        <v>#N/A</v>
      </c>
      <c r="F493" s="56" t="s">
        <v>15</v>
      </c>
      <c r="G493" s="56" t="str">
        <f>VLOOKUP(F493,姓名檔!$H$3:$I$18,2)</f>
        <v>主日奉獻</v>
      </c>
      <c r="H493" s="56" t="e">
        <f>VLOOKUP(D493,姓名檔!$A$2:G$159,5,0)</f>
        <v>#N/A</v>
      </c>
      <c r="I493" s="56"/>
      <c r="J493" s="141"/>
      <c r="K493" s="56"/>
      <c r="L493" s="57"/>
    </row>
    <row r="494" spans="1:12" x14ac:dyDescent="0.3">
      <c r="A494" s="55">
        <v>46299</v>
      </c>
      <c r="B494" s="56">
        <f t="shared" si="38"/>
        <v>10</v>
      </c>
      <c r="C494" s="56">
        <f t="shared" si="37"/>
        <v>41</v>
      </c>
      <c r="D494" s="56"/>
      <c r="E494" s="56" t="e">
        <f>VLOOKUP(D494,姓名檔!$A$2:$G$159,4,0)</f>
        <v>#N/A</v>
      </c>
      <c r="F494" s="56" t="s">
        <v>15</v>
      </c>
      <c r="G494" s="56" t="str">
        <f>VLOOKUP(F494,姓名檔!$H$3:$I$18,2)</f>
        <v>主日奉獻</v>
      </c>
      <c r="H494" s="56" t="e">
        <f>VLOOKUP(D494,姓名檔!$A$2:G$159,5,0)</f>
        <v>#N/A</v>
      </c>
      <c r="I494" s="56"/>
      <c r="J494" s="141"/>
      <c r="K494" s="56"/>
      <c r="L494" s="57"/>
    </row>
    <row r="495" spans="1:12" x14ac:dyDescent="0.3">
      <c r="A495" s="55">
        <v>46299</v>
      </c>
      <c r="B495" s="56">
        <f t="shared" si="38"/>
        <v>10</v>
      </c>
      <c r="C495" s="56">
        <f t="shared" si="37"/>
        <v>41</v>
      </c>
      <c r="D495" s="56"/>
      <c r="E495" s="56" t="e">
        <f>VLOOKUP(D495,姓名檔!$A$2:$G$159,4,0)</f>
        <v>#N/A</v>
      </c>
      <c r="F495" s="56" t="s">
        <v>15</v>
      </c>
      <c r="G495" s="56" t="str">
        <f>VLOOKUP(F495,姓名檔!$H$3:$I$18,2)</f>
        <v>主日奉獻</v>
      </c>
      <c r="H495" s="56" t="e">
        <f>VLOOKUP(D495,姓名檔!$A$2:G$159,5,0)</f>
        <v>#N/A</v>
      </c>
      <c r="I495" s="56"/>
      <c r="J495" s="141"/>
      <c r="K495" s="56"/>
      <c r="L495" s="57"/>
    </row>
    <row r="496" spans="1:12" x14ac:dyDescent="0.3">
      <c r="A496" s="55">
        <v>46299</v>
      </c>
      <c r="B496" s="56">
        <f t="shared" si="38"/>
        <v>10</v>
      </c>
      <c r="C496" s="56">
        <f t="shared" si="37"/>
        <v>41</v>
      </c>
      <c r="D496" s="56"/>
      <c r="E496" s="56" t="e">
        <f>VLOOKUP(D496,姓名檔!$A$2:$G$159,4,0)</f>
        <v>#N/A</v>
      </c>
      <c r="F496" s="56" t="s">
        <v>15</v>
      </c>
      <c r="G496" s="56" t="str">
        <f>VLOOKUP(F496,姓名檔!$H$3:$I$18,2)</f>
        <v>主日奉獻</v>
      </c>
      <c r="H496" s="56" t="e">
        <f>VLOOKUP(D496,姓名檔!$A$2:G$159,5,0)</f>
        <v>#N/A</v>
      </c>
      <c r="I496" s="56"/>
      <c r="J496" s="141"/>
      <c r="K496" s="56"/>
      <c r="L496" s="57"/>
    </row>
    <row r="497" spans="1:12" x14ac:dyDescent="0.3">
      <c r="A497" s="55">
        <v>46299</v>
      </c>
      <c r="B497" s="56">
        <f t="shared" si="38"/>
        <v>10</v>
      </c>
      <c r="C497" s="56">
        <f t="shared" si="37"/>
        <v>41</v>
      </c>
      <c r="D497" s="56"/>
      <c r="E497" s="56" t="e">
        <f>VLOOKUP(D497,姓名檔!$A$2:$G$159,4,0)</f>
        <v>#N/A</v>
      </c>
      <c r="F497" s="56" t="s">
        <v>15</v>
      </c>
      <c r="G497" s="56" t="str">
        <f>VLOOKUP(F497,姓名檔!$H$3:$I$18,2)</f>
        <v>主日奉獻</v>
      </c>
      <c r="H497" s="56" t="e">
        <f>VLOOKUP(D497,姓名檔!$A$2:G$159,5,0)</f>
        <v>#N/A</v>
      </c>
      <c r="I497" s="56"/>
      <c r="J497" s="141"/>
      <c r="K497" s="56"/>
      <c r="L497" s="57"/>
    </row>
    <row r="498" spans="1:12" x14ac:dyDescent="0.3">
      <c r="A498" s="55">
        <v>46299</v>
      </c>
      <c r="B498" s="56">
        <f t="shared" si="38"/>
        <v>10</v>
      </c>
      <c r="C498" s="56">
        <f t="shared" si="37"/>
        <v>41</v>
      </c>
      <c r="D498" s="56"/>
      <c r="E498" s="56" t="e">
        <f>VLOOKUP(D498,姓名檔!$A$2:$G$159,4,0)</f>
        <v>#N/A</v>
      </c>
      <c r="F498" s="56" t="s">
        <v>15</v>
      </c>
      <c r="G498" s="56" t="str">
        <f>VLOOKUP(F498,姓名檔!$H$3:$I$18,2)</f>
        <v>主日奉獻</v>
      </c>
      <c r="H498" s="56" t="e">
        <f>VLOOKUP(D498,姓名檔!$A$2:G$159,5,0)</f>
        <v>#N/A</v>
      </c>
      <c r="I498" s="56"/>
      <c r="J498" s="141"/>
      <c r="K498" s="56"/>
      <c r="L498" s="57"/>
    </row>
    <row r="499" spans="1:12" x14ac:dyDescent="0.3">
      <c r="A499" s="55">
        <v>46299</v>
      </c>
      <c r="B499" s="56">
        <f t="shared" si="38"/>
        <v>10</v>
      </c>
      <c r="C499" s="56">
        <f t="shared" si="37"/>
        <v>41</v>
      </c>
      <c r="D499" s="56"/>
      <c r="E499" s="56" t="e">
        <f>VLOOKUP(D499,姓名檔!$A$2:$G$159,4,0)</f>
        <v>#N/A</v>
      </c>
      <c r="F499" s="56" t="s">
        <v>15</v>
      </c>
      <c r="G499" s="56" t="str">
        <f>VLOOKUP(F499,姓名檔!$H$3:$I$18,2)</f>
        <v>主日奉獻</v>
      </c>
      <c r="H499" s="56" t="e">
        <f>VLOOKUP(D499,姓名檔!$A$2:G$159,5,0)</f>
        <v>#N/A</v>
      </c>
      <c r="I499" s="56"/>
      <c r="J499" s="141"/>
      <c r="K499" s="56"/>
      <c r="L499" s="57"/>
    </row>
    <row r="500" spans="1:12" x14ac:dyDescent="0.3">
      <c r="A500" s="55">
        <v>46299</v>
      </c>
      <c r="B500" s="56">
        <f t="shared" si="38"/>
        <v>10</v>
      </c>
      <c r="C500" s="56">
        <f t="shared" ref="C500:C561" si="39">WEEKNUM(A500)</f>
        <v>41</v>
      </c>
      <c r="D500" s="56"/>
      <c r="E500" s="56" t="e">
        <f>VLOOKUP(D500,姓名檔!$A$2:$G$159,4,0)</f>
        <v>#N/A</v>
      </c>
      <c r="F500" s="56" t="s">
        <v>15</v>
      </c>
      <c r="G500" s="56" t="str">
        <f>VLOOKUP(F500,姓名檔!$H$3:$I$18,2)</f>
        <v>主日奉獻</v>
      </c>
      <c r="H500" s="56" t="e">
        <f>VLOOKUP(D500,姓名檔!$A$2:G$159,5,0)</f>
        <v>#N/A</v>
      </c>
      <c r="I500" s="56"/>
      <c r="J500" s="141"/>
      <c r="K500" s="56"/>
      <c r="L500" s="57"/>
    </row>
    <row r="501" spans="1:12" x14ac:dyDescent="0.3">
      <c r="A501" s="55">
        <v>46299</v>
      </c>
      <c r="B501" s="56">
        <f t="shared" ref="B501:B564" si="40">MONTH(A501)</f>
        <v>10</v>
      </c>
      <c r="C501" s="56">
        <f t="shared" si="39"/>
        <v>41</v>
      </c>
      <c r="D501" s="56"/>
      <c r="E501" s="56" t="e">
        <f>VLOOKUP(D501,姓名檔!$A$2:$G$159,4,0)</f>
        <v>#N/A</v>
      </c>
      <c r="F501" s="56" t="s">
        <v>15</v>
      </c>
      <c r="G501" s="56" t="str">
        <f>VLOOKUP(F501,姓名檔!$H$3:$I$18,2)</f>
        <v>主日奉獻</v>
      </c>
      <c r="H501" s="56" t="e">
        <f>VLOOKUP(D501,姓名檔!$A$2:G$159,5,0)</f>
        <v>#N/A</v>
      </c>
      <c r="I501" s="56"/>
      <c r="J501" s="141"/>
      <c r="K501" s="56"/>
      <c r="L501" s="57"/>
    </row>
    <row r="502" spans="1:12" x14ac:dyDescent="0.3">
      <c r="A502" s="55">
        <v>46299</v>
      </c>
      <c r="B502" s="56">
        <f t="shared" si="40"/>
        <v>10</v>
      </c>
      <c r="C502" s="56">
        <f t="shared" si="39"/>
        <v>41</v>
      </c>
      <c r="D502" s="56"/>
      <c r="E502" s="56" t="e">
        <f>VLOOKUP(D502,姓名檔!$A$2:$G$159,4,0)</f>
        <v>#N/A</v>
      </c>
      <c r="F502" s="56" t="s">
        <v>15</v>
      </c>
      <c r="G502" s="56" t="str">
        <f>VLOOKUP(F502,姓名檔!$H$3:$I$18,2)</f>
        <v>主日奉獻</v>
      </c>
      <c r="H502" s="56" t="e">
        <f>VLOOKUP(D502,姓名檔!$A$2:G$159,5,0)</f>
        <v>#N/A</v>
      </c>
      <c r="I502" s="56"/>
      <c r="J502" s="141"/>
      <c r="K502" s="56"/>
      <c r="L502" s="57"/>
    </row>
    <row r="503" spans="1:12" x14ac:dyDescent="0.3">
      <c r="A503" s="55">
        <v>46299</v>
      </c>
      <c r="B503" s="56">
        <f t="shared" si="40"/>
        <v>10</v>
      </c>
      <c r="C503" s="56">
        <f t="shared" si="39"/>
        <v>41</v>
      </c>
      <c r="D503" s="56"/>
      <c r="E503" s="56" t="e">
        <f>VLOOKUP(D503,姓名檔!$A$2:$G$159,4,0)</f>
        <v>#N/A</v>
      </c>
      <c r="F503" s="56" t="s">
        <v>15</v>
      </c>
      <c r="G503" s="56" t="str">
        <f>VLOOKUP(F503,姓名檔!$H$3:$I$18,2)</f>
        <v>主日奉獻</v>
      </c>
      <c r="H503" s="56" t="e">
        <f>VLOOKUP(D503,姓名檔!$A$2:G$159,5,0)</f>
        <v>#N/A</v>
      </c>
      <c r="I503" s="56"/>
      <c r="J503" s="141"/>
      <c r="K503" s="56"/>
      <c r="L503" s="57"/>
    </row>
    <row r="504" spans="1:12" x14ac:dyDescent="0.3">
      <c r="A504" s="55">
        <v>46299</v>
      </c>
      <c r="B504" s="56">
        <f t="shared" si="40"/>
        <v>10</v>
      </c>
      <c r="C504" s="56">
        <f t="shared" si="39"/>
        <v>41</v>
      </c>
      <c r="D504" s="56"/>
      <c r="E504" s="56" t="e">
        <f>VLOOKUP(D504,姓名檔!$A$2:$G$159,4,0)</f>
        <v>#N/A</v>
      </c>
      <c r="F504" s="56" t="s">
        <v>15</v>
      </c>
      <c r="G504" s="56" t="str">
        <f>VLOOKUP(F504,姓名檔!$H$3:$I$18,2)</f>
        <v>主日奉獻</v>
      </c>
      <c r="H504" s="56" t="e">
        <f>VLOOKUP(D504,姓名檔!$A$2:G$159,5,0)</f>
        <v>#N/A</v>
      </c>
      <c r="I504" s="56"/>
      <c r="J504" s="141"/>
      <c r="K504" s="56"/>
      <c r="L504" s="57"/>
    </row>
    <row r="505" spans="1:12" x14ac:dyDescent="0.3">
      <c r="A505" s="55">
        <v>46299</v>
      </c>
      <c r="B505" s="56">
        <f t="shared" si="40"/>
        <v>10</v>
      </c>
      <c r="C505" s="56">
        <f t="shared" si="39"/>
        <v>41</v>
      </c>
      <c r="D505" s="56"/>
      <c r="E505" s="56" t="e">
        <f>VLOOKUP(D505,姓名檔!$A$2:$G$159,4,0)</f>
        <v>#N/A</v>
      </c>
      <c r="F505" s="56" t="s">
        <v>15</v>
      </c>
      <c r="G505" s="56" t="str">
        <f>VLOOKUP(F505,姓名檔!$H$3:$I$18,2)</f>
        <v>主日奉獻</v>
      </c>
      <c r="H505" s="56" t="e">
        <f>VLOOKUP(D505,姓名檔!$A$2:G$159,5,0)</f>
        <v>#N/A</v>
      </c>
      <c r="I505" s="56"/>
      <c r="J505" s="141"/>
      <c r="K505" s="56"/>
      <c r="L505" s="57"/>
    </row>
    <row r="506" spans="1:12" x14ac:dyDescent="0.3">
      <c r="A506" s="55">
        <v>46299</v>
      </c>
      <c r="B506" s="56">
        <f t="shared" si="40"/>
        <v>10</v>
      </c>
      <c r="C506" s="56">
        <f t="shared" si="39"/>
        <v>41</v>
      </c>
      <c r="D506" s="56"/>
      <c r="E506" s="56" t="e">
        <f>VLOOKUP(D506,姓名檔!$A$2:$G$159,4,0)</f>
        <v>#N/A</v>
      </c>
      <c r="F506" s="56" t="s">
        <v>15</v>
      </c>
      <c r="G506" s="56" t="str">
        <f>VLOOKUP(F506,姓名檔!$H$3:$I$18,2)</f>
        <v>主日奉獻</v>
      </c>
      <c r="H506" s="56" t="e">
        <f>VLOOKUP(D506,姓名檔!$A$2:G$159,5,0)</f>
        <v>#N/A</v>
      </c>
      <c r="I506" s="56"/>
      <c r="J506" s="141"/>
      <c r="K506" s="56"/>
      <c r="L506" s="57"/>
    </row>
    <row r="507" spans="1:12" x14ac:dyDescent="0.3">
      <c r="A507" s="55">
        <v>46299</v>
      </c>
      <c r="B507" s="56">
        <f t="shared" si="40"/>
        <v>10</v>
      </c>
      <c r="C507" s="56">
        <f t="shared" si="39"/>
        <v>41</v>
      </c>
      <c r="D507" s="56"/>
      <c r="E507" s="56" t="e">
        <f>VLOOKUP(D507,姓名檔!$A$2:$G$159,4,0)</f>
        <v>#N/A</v>
      </c>
      <c r="F507" s="56" t="s">
        <v>15</v>
      </c>
      <c r="G507" s="56" t="str">
        <f>VLOOKUP(F507,姓名檔!$H$3:$I$18,2)</f>
        <v>主日奉獻</v>
      </c>
      <c r="H507" s="56" t="e">
        <f>VLOOKUP(D507,姓名檔!$A$2:G$159,5,0)</f>
        <v>#N/A</v>
      </c>
      <c r="I507" s="56"/>
      <c r="J507" s="141"/>
      <c r="K507" s="56"/>
      <c r="L507" s="57"/>
    </row>
    <row r="508" spans="1:12" x14ac:dyDescent="0.3">
      <c r="A508" s="55">
        <v>46299</v>
      </c>
      <c r="B508" s="56">
        <f t="shared" si="40"/>
        <v>10</v>
      </c>
      <c r="C508" s="56">
        <f t="shared" si="39"/>
        <v>41</v>
      </c>
      <c r="D508" s="56"/>
      <c r="E508" s="56" t="e">
        <f>VLOOKUP(D508,姓名檔!$A$2:$G$159,4,0)</f>
        <v>#N/A</v>
      </c>
      <c r="F508" s="56" t="s">
        <v>15</v>
      </c>
      <c r="G508" s="56" t="str">
        <f>VLOOKUP(F508,姓名檔!$H$3:$I$18,2)</f>
        <v>主日奉獻</v>
      </c>
      <c r="H508" s="56" t="e">
        <f>VLOOKUP(D508,姓名檔!$A$2:G$159,5,0)</f>
        <v>#N/A</v>
      </c>
      <c r="I508" s="56"/>
      <c r="J508" s="141"/>
      <c r="K508" s="56"/>
      <c r="L508" s="57"/>
    </row>
    <row r="509" spans="1:12" x14ac:dyDescent="0.3">
      <c r="A509" s="55">
        <v>46299</v>
      </c>
      <c r="B509" s="56">
        <f t="shared" si="40"/>
        <v>10</v>
      </c>
      <c r="C509" s="56">
        <f t="shared" si="39"/>
        <v>41</v>
      </c>
      <c r="D509" s="56"/>
      <c r="E509" s="56" t="e">
        <f>VLOOKUP(D509,姓名檔!$A$2:$G$159,4,0)</f>
        <v>#N/A</v>
      </c>
      <c r="F509" s="56" t="s">
        <v>15</v>
      </c>
      <c r="G509" s="56" t="str">
        <f>VLOOKUP(F509,姓名檔!$H$3:$I$18,2)</f>
        <v>主日奉獻</v>
      </c>
      <c r="H509" s="56" t="e">
        <f>VLOOKUP(D509,姓名檔!$A$2:G$159,5,0)</f>
        <v>#N/A</v>
      </c>
      <c r="I509" s="56"/>
      <c r="J509" s="141"/>
      <c r="K509" s="56"/>
      <c r="L509" s="57"/>
    </row>
    <row r="510" spans="1:12" x14ac:dyDescent="0.3">
      <c r="A510" s="55">
        <v>46299</v>
      </c>
      <c r="B510" s="56">
        <f t="shared" si="40"/>
        <v>10</v>
      </c>
      <c r="C510" s="56">
        <f t="shared" si="39"/>
        <v>41</v>
      </c>
      <c r="D510" s="56"/>
      <c r="E510" s="56" t="e">
        <f>VLOOKUP(D510,姓名檔!$A$2:$G$159,4,0)</f>
        <v>#N/A</v>
      </c>
      <c r="F510" s="56" t="s">
        <v>15</v>
      </c>
      <c r="G510" s="56" t="str">
        <f>VLOOKUP(F510,姓名檔!$H$3:$I$18,2)</f>
        <v>主日奉獻</v>
      </c>
      <c r="H510" s="56" t="e">
        <f>VLOOKUP(D510,姓名檔!$A$2:G$159,5,0)</f>
        <v>#N/A</v>
      </c>
      <c r="I510" s="56"/>
      <c r="J510" s="141"/>
      <c r="K510" s="56"/>
      <c r="L510" s="57"/>
    </row>
    <row r="511" spans="1:12" x14ac:dyDescent="0.3">
      <c r="A511" s="55">
        <v>46299</v>
      </c>
      <c r="B511" s="56">
        <f t="shared" si="40"/>
        <v>10</v>
      </c>
      <c r="C511" s="56">
        <f t="shared" si="39"/>
        <v>41</v>
      </c>
      <c r="D511" s="56"/>
      <c r="E511" s="56" t="e">
        <f>VLOOKUP(D511,姓名檔!$A$2:$G$159,4,0)</f>
        <v>#N/A</v>
      </c>
      <c r="F511" s="56" t="s">
        <v>15</v>
      </c>
      <c r="G511" s="56" t="str">
        <f>VLOOKUP(F511,姓名檔!$H$3:$I$18,2)</f>
        <v>主日奉獻</v>
      </c>
      <c r="H511" s="56" t="e">
        <f>VLOOKUP(D511,姓名檔!$A$2:G$159,5,0)</f>
        <v>#N/A</v>
      </c>
      <c r="I511" s="56"/>
      <c r="J511" s="141"/>
      <c r="K511" s="56"/>
      <c r="L511" s="57"/>
    </row>
    <row r="512" spans="1:12" x14ac:dyDescent="0.3">
      <c r="A512" s="55">
        <v>46299</v>
      </c>
      <c r="B512" s="56">
        <f t="shared" si="40"/>
        <v>10</v>
      </c>
      <c r="C512" s="56">
        <f t="shared" si="39"/>
        <v>41</v>
      </c>
      <c r="D512" s="56"/>
      <c r="E512" s="56" t="e">
        <f>VLOOKUP(D512,姓名檔!$A$2:$G$159,4,0)</f>
        <v>#N/A</v>
      </c>
      <c r="F512" s="56" t="s">
        <v>15</v>
      </c>
      <c r="G512" s="56" t="str">
        <f>VLOOKUP(F512,姓名檔!$H$3:$I$18,2)</f>
        <v>主日奉獻</v>
      </c>
      <c r="H512" s="56" t="e">
        <f>VLOOKUP(D512,姓名檔!$A$2:G$159,5,0)</f>
        <v>#N/A</v>
      </c>
      <c r="I512" s="56"/>
      <c r="J512" s="141"/>
      <c r="K512" s="56"/>
      <c r="L512" s="57"/>
    </row>
    <row r="513" spans="1:12" x14ac:dyDescent="0.3">
      <c r="A513" s="55">
        <v>46299</v>
      </c>
      <c r="B513" s="56">
        <f t="shared" si="40"/>
        <v>10</v>
      </c>
      <c r="C513" s="56">
        <f t="shared" si="39"/>
        <v>41</v>
      </c>
      <c r="D513" s="56"/>
      <c r="E513" s="56" t="e">
        <f>VLOOKUP(D513,姓名檔!$A$2:$G$159,4,0)</f>
        <v>#N/A</v>
      </c>
      <c r="F513" s="56" t="s">
        <v>15</v>
      </c>
      <c r="G513" s="56" t="str">
        <f>VLOOKUP(F513,姓名檔!$H$3:$I$18,2)</f>
        <v>主日奉獻</v>
      </c>
      <c r="H513" s="56" t="e">
        <f>VLOOKUP(D513,姓名檔!$A$2:G$159,5,0)</f>
        <v>#N/A</v>
      </c>
      <c r="I513" s="56"/>
      <c r="J513" s="141"/>
      <c r="K513" s="56"/>
      <c r="L513" s="57"/>
    </row>
    <row r="514" spans="1:12" x14ac:dyDescent="0.3">
      <c r="A514" s="55">
        <v>46299</v>
      </c>
      <c r="B514" s="56">
        <f t="shared" si="40"/>
        <v>10</v>
      </c>
      <c r="C514" s="56">
        <f t="shared" si="39"/>
        <v>41</v>
      </c>
      <c r="D514" s="56"/>
      <c r="E514" s="56" t="e">
        <f>VLOOKUP(D514,姓名檔!$A$2:$G$159,4,0)</f>
        <v>#N/A</v>
      </c>
      <c r="F514" s="56" t="s">
        <v>15</v>
      </c>
      <c r="G514" s="56" t="str">
        <f>VLOOKUP(F514,姓名檔!$H$3:$I$18,2)</f>
        <v>主日奉獻</v>
      </c>
      <c r="H514" s="56" t="e">
        <f>VLOOKUP(D514,姓名檔!$A$2:G$159,5,0)</f>
        <v>#N/A</v>
      </c>
      <c r="I514" s="56"/>
      <c r="J514" s="141"/>
      <c r="K514" s="56"/>
      <c r="L514" s="57"/>
    </row>
    <row r="515" spans="1:12" x14ac:dyDescent="0.3">
      <c r="A515" s="55">
        <v>46299</v>
      </c>
      <c r="B515" s="56">
        <f t="shared" si="40"/>
        <v>10</v>
      </c>
      <c r="C515" s="56">
        <f t="shared" si="39"/>
        <v>41</v>
      </c>
      <c r="D515" s="56"/>
      <c r="E515" s="56" t="e">
        <f>VLOOKUP(D515,姓名檔!$A$2:$G$159,4,0)</f>
        <v>#N/A</v>
      </c>
      <c r="F515" s="56" t="s">
        <v>15</v>
      </c>
      <c r="G515" s="56" t="str">
        <f>VLOOKUP(F515,姓名檔!$H$3:$I$18,2)</f>
        <v>主日奉獻</v>
      </c>
      <c r="H515" s="56" t="e">
        <f>VLOOKUP(D515,姓名檔!$A$2:G$159,5,0)</f>
        <v>#N/A</v>
      </c>
      <c r="I515" s="56"/>
      <c r="J515" s="141"/>
      <c r="K515" s="56"/>
      <c r="L515" s="57"/>
    </row>
    <row r="516" spans="1:12" x14ac:dyDescent="0.3">
      <c r="A516" s="55">
        <v>46299</v>
      </c>
      <c r="B516" s="56">
        <f t="shared" si="40"/>
        <v>10</v>
      </c>
      <c r="C516" s="56">
        <f t="shared" si="39"/>
        <v>41</v>
      </c>
      <c r="D516" s="56"/>
      <c r="E516" s="56" t="e">
        <f>VLOOKUP(D516,姓名檔!$A$2:$G$159,4,0)</f>
        <v>#N/A</v>
      </c>
      <c r="F516" s="56" t="s">
        <v>15</v>
      </c>
      <c r="G516" s="56" t="str">
        <f>VLOOKUP(F516,姓名檔!$H$3:$I$18,2)</f>
        <v>主日奉獻</v>
      </c>
      <c r="H516" s="56" t="e">
        <f>VLOOKUP(D516,姓名檔!$A$2:G$159,5,0)</f>
        <v>#N/A</v>
      </c>
      <c r="I516" s="56"/>
      <c r="J516" s="141"/>
      <c r="K516" s="56"/>
      <c r="L516" s="57"/>
    </row>
    <row r="517" spans="1:12" x14ac:dyDescent="0.3">
      <c r="A517" s="55">
        <v>46299</v>
      </c>
      <c r="B517" s="56">
        <f t="shared" si="40"/>
        <v>10</v>
      </c>
      <c r="C517" s="56">
        <f t="shared" si="39"/>
        <v>41</v>
      </c>
      <c r="D517" s="56"/>
      <c r="E517" s="56" t="e">
        <f>VLOOKUP(D517,姓名檔!$A$2:$G$159,4,0)</f>
        <v>#N/A</v>
      </c>
      <c r="F517" s="56" t="s">
        <v>15</v>
      </c>
      <c r="G517" s="56" t="str">
        <f>VLOOKUP(F517,姓名檔!$H$3:$I$18,2)</f>
        <v>主日奉獻</v>
      </c>
      <c r="H517" s="56" t="e">
        <f>VLOOKUP(D517,姓名檔!$A$2:G$159,5,0)</f>
        <v>#N/A</v>
      </c>
      <c r="I517" s="56"/>
      <c r="J517" s="141"/>
      <c r="K517" s="56"/>
      <c r="L517" s="57"/>
    </row>
    <row r="518" spans="1:12" x14ac:dyDescent="0.3">
      <c r="A518" s="55">
        <v>46299</v>
      </c>
      <c r="B518" s="56">
        <f t="shared" si="40"/>
        <v>10</v>
      </c>
      <c r="C518" s="56">
        <f t="shared" si="39"/>
        <v>41</v>
      </c>
      <c r="D518" s="56"/>
      <c r="E518" s="56" t="e">
        <f>VLOOKUP(D518,姓名檔!$A$2:$G$159,4,0)</f>
        <v>#N/A</v>
      </c>
      <c r="F518" s="56" t="s">
        <v>15</v>
      </c>
      <c r="G518" s="56" t="str">
        <f>VLOOKUP(F518,姓名檔!$H$3:$I$18,2)</f>
        <v>主日奉獻</v>
      </c>
      <c r="H518" s="56" t="e">
        <f>VLOOKUP(D518,姓名檔!$A$2:G$159,5,0)</f>
        <v>#N/A</v>
      </c>
      <c r="I518" s="56"/>
      <c r="J518" s="141"/>
      <c r="K518" s="56"/>
      <c r="L518" s="57"/>
    </row>
    <row r="519" spans="1:12" x14ac:dyDescent="0.3">
      <c r="A519" s="55">
        <v>46299</v>
      </c>
      <c r="B519" s="56">
        <f t="shared" si="40"/>
        <v>10</v>
      </c>
      <c r="C519" s="56">
        <f t="shared" si="39"/>
        <v>41</v>
      </c>
      <c r="D519" s="56"/>
      <c r="E519" s="56" t="e">
        <f>VLOOKUP(D519,姓名檔!$A$2:$G$159,4,0)</f>
        <v>#N/A</v>
      </c>
      <c r="F519" s="56" t="s">
        <v>15</v>
      </c>
      <c r="G519" s="56" t="str">
        <f>VLOOKUP(F519,姓名檔!$H$3:$I$18,2)</f>
        <v>主日奉獻</v>
      </c>
      <c r="H519" s="56" t="e">
        <f>VLOOKUP(D519,姓名檔!$A$2:G$159,5,0)</f>
        <v>#N/A</v>
      </c>
      <c r="I519" s="56"/>
      <c r="J519" s="141"/>
      <c r="K519" s="56"/>
      <c r="L519" s="57"/>
    </row>
    <row r="520" spans="1:12" x14ac:dyDescent="0.3">
      <c r="A520" s="55">
        <v>46299</v>
      </c>
      <c r="B520" s="56">
        <f t="shared" si="40"/>
        <v>10</v>
      </c>
      <c r="C520" s="56">
        <f t="shared" si="39"/>
        <v>41</v>
      </c>
      <c r="D520" s="56"/>
      <c r="E520" s="56" t="e">
        <f>VLOOKUP(D520,姓名檔!$A$2:$G$159,4,0)</f>
        <v>#N/A</v>
      </c>
      <c r="F520" s="56" t="s">
        <v>15</v>
      </c>
      <c r="G520" s="56" t="str">
        <f>VLOOKUP(F520,姓名檔!$H$3:$I$18,2)</f>
        <v>主日奉獻</v>
      </c>
      <c r="H520" s="56" t="e">
        <f>VLOOKUP(D520,姓名檔!$A$2:G$159,5,0)</f>
        <v>#N/A</v>
      </c>
      <c r="I520" s="56"/>
      <c r="J520" s="141"/>
      <c r="K520" s="56"/>
      <c r="L520" s="57"/>
    </row>
    <row r="521" spans="1:12" x14ac:dyDescent="0.3">
      <c r="A521" s="55">
        <v>46299</v>
      </c>
      <c r="B521" s="56">
        <f t="shared" si="40"/>
        <v>10</v>
      </c>
      <c r="C521" s="56">
        <f t="shared" si="39"/>
        <v>41</v>
      </c>
      <c r="D521" s="56"/>
      <c r="E521" s="56" t="e">
        <f>VLOOKUP(D521,姓名檔!$A$2:$G$159,4,0)</f>
        <v>#N/A</v>
      </c>
      <c r="F521" s="56" t="s">
        <v>15</v>
      </c>
      <c r="G521" s="56" t="str">
        <f>VLOOKUP(F521,姓名檔!$H$3:$I$18,2)</f>
        <v>主日奉獻</v>
      </c>
      <c r="H521" s="56" t="e">
        <f>VLOOKUP(D521,姓名檔!$A$2:G$159,5,0)</f>
        <v>#N/A</v>
      </c>
      <c r="I521" s="56"/>
      <c r="J521" s="141"/>
      <c r="K521" s="56"/>
      <c r="L521" s="57"/>
    </row>
    <row r="522" spans="1:12" x14ac:dyDescent="0.3">
      <c r="A522" s="55">
        <v>46299</v>
      </c>
      <c r="B522" s="56">
        <f t="shared" si="40"/>
        <v>10</v>
      </c>
      <c r="C522" s="56">
        <f t="shared" si="39"/>
        <v>41</v>
      </c>
      <c r="D522" s="56"/>
      <c r="E522" s="56" t="e">
        <f>VLOOKUP(D522,姓名檔!$A$2:$G$159,4,0)</f>
        <v>#N/A</v>
      </c>
      <c r="F522" s="56" t="s">
        <v>15</v>
      </c>
      <c r="G522" s="56" t="str">
        <f>VLOOKUP(F522,姓名檔!$H$3:$I$18,2)</f>
        <v>主日奉獻</v>
      </c>
      <c r="H522" s="56" t="e">
        <f>VLOOKUP(D522,姓名檔!$A$2:G$159,5,0)</f>
        <v>#N/A</v>
      </c>
      <c r="I522" s="56"/>
      <c r="J522" s="141"/>
      <c r="K522" s="56"/>
      <c r="L522" s="57"/>
    </row>
    <row r="523" spans="1:12" x14ac:dyDescent="0.3">
      <c r="A523" s="55">
        <v>46299</v>
      </c>
      <c r="B523" s="56">
        <f t="shared" si="40"/>
        <v>10</v>
      </c>
      <c r="C523" s="56">
        <f t="shared" si="39"/>
        <v>41</v>
      </c>
      <c r="D523" s="56"/>
      <c r="E523" s="56" t="e">
        <f>VLOOKUP(D523,姓名檔!$A$2:$G$159,4,0)</f>
        <v>#N/A</v>
      </c>
      <c r="F523" s="56" t="s">
        <v>15</v>
      </c>
      <c r="G523" s="56" t="str">
        <f>VLOOKUP(F523,姓名檔!$H$3:$I$18,2)</f>
        <v>主日奉獻</v>
      </c>
      <c r="H523" s="56" t="e">
        <f>VLOOKUP(D523,姓名檔!$A$2:G$159,5,0)</f>
        <v>#N/A</v>
      </c>
      <c r="I523" s="56"/>
      <c r="J523" s="141"/>
      <c r="K523" s="56"/>
      <c r="L523" s="57"/>
    </row>
    <row r="524" spans="1:12" x14ac:dyDescent="0.3">
      <c r="A524" s="55">
        <v>46299</v>
      </c>
      <c r="B524" s="56">
        <f t="shared" si="40"/>
        <v>10</v>
      </c>
      <c r="C524" s="56">
        <f t="shared" si="39"/>
        <v>41</v>
      </c>
      <c r="D524" s="56"/>
      <c r="E524" s="56" t="e">
        <f>VLOOKUP(D524,姓名檔!$A$2:$G$159,4,0)</f>
        <v>#N/A</v>
      </c>
      <c r="F524" s="56" t="s">
        <v>15</v>
      </c>
      <c r="G524" s="56" t="str">
        <f>VLOOKUP(F524,姓名檔!$H$3:$I$18,2)</f>
        <v>主日奉獻</v>
      </c>
      <c r="H524" s="56" t="e">
        <f>VLOOKUP(D524,姓名檔!$A$2:G$159,5,0)</f>
        <v>#N/A</v>
      </c>
      <c r="I524" s="56"/>
      <c r="J524" s="141"/>
      <c r="K524" s="56"/>
      <c r="L524" s="57"/>
    </row>
    <row r="525" spans="1:12" x14ac:dyDescent="0.3">
      <c r="A525" s="55">
        <v>46299</v>
      </c>
      <c r="B525" s="56">
        <f t="shared" si="40"/>
        <v>10</v>
      </c>
      <c r="C525" s="56">
        <f t="shared" si="39"/>
        <v>41</v>
      </c>
      <c r="D525" s="56"/>
      <c r="E525" s="56" t="e">
        <f>VLOOKUP(D525,姓名檔!$A$2:$G$159,4,0)</f>
        <v>#N/A</v>
      </c>
      <c r="F525" s="56" t="s">
        <v>15</v>
      </c>
      <c r="G525" s="56" t="str">
        <f>VLOOKUP(F525,姓名檔!$H$3:$I$18,2)</f>
        <v>主日奉獻</v>
      </c>
      <c r="H525" s="56" t="e">
        <f>VLOOKUP(D525,姓名檔!$A$2:G$159,5,0)</f>
        <v>#N/A</v>
      </c>
      <c r="I525" s="56"/>
      <c r="J525" s="141"/>
      <c r="K525" s="56"/>
      <c r="L525" s="57"/>
    </row>
    <row r="526" spans="1:12" x14ac:dyDescent="0.3">
      <c r="A526" s="55">
        <v>46299</v>
      </c>
      <c r="B526" s="56">
        <f t="shared" si="40"/>
        <v>10</v>
      </c>
      <c r="C526" s="56">
        <f t="shared" si="39"/>
        <v>41</v>
      </c>
      <c r="D526" s="56"/>
      <c r="E526" s="56" t="e">
        <f>VLOOKUP(D526,姓名檔!$A$2:$G$159,4,0)</f>
        <v>#N/A</v>
      </c>
      <c r="F526" s="56" t="s">
        <v>15</v>
      </c>
      <c r="G526" s="56" t="str">
        <f>VLOOKUP(F526,姓名檔!$H$3:$I$18,2)</f>
        <v>主日奉獻</v>
      </c>
      <c r="H526" s="56" t="e">
        <f>VLOOKUP(D526,姓名檔!$A$2:G$159,5,0)</f>
        <v>#N/A</v>
      </c>
      <c r="I526" s="56"/>
      <c r="J526" s="141"/>
      <c r="K526" s="56"/>
      <c r="L526" s="57"/>
    </row>
    <row r="527" spans="1:12" x14ac:dyDescent="0.3">
      <c r="A527" s="55">
        <v>46299</v>
      </c>
      <c r="B527" s="56">
        <f t="shared" si="40"/>
        <v>10</v>
      </c>
      <c r="C527" s="56">
        <f t="shared" si="39"/>
        <v>41</v>
      </c>
      <c r="D527" s="56"/>
      <c r="E527" s="56" t="e">
        <f>VLOOKUP(D527,姓名檔!$A$2:$G$159,4,0)</f>
        <v>#N/A</v>
      </c>
      <c r="F527" s="56" t="s">
        <v>15</v>
      </c>
      <c r="G527" s="56" t="str">
        <f>VLOOKUP(F527,姓名檔!$H$3:$I$18,2)</f>
        <v>主日奉獻</v>
      </c>
      <c r="H527" s="56" t="e">
        <f>VLOOKUP(D527,姓名檔!$A$2:G$159,5,0)</f>
        <v>#N/A</v>
      </c>
      <c r="I527" s="56"/>
      <c r="J527" s="141"/>
      <c r="K527" s="56"/>
      <c r="L527" s="57"/>
    </row>
    <row r="528" spans="1:12" x14ac:dyDescent="0.3">
      <c r="A528" s="55">
        <v>46299</v>
      </c>
      <c r="B528" s="56">
        <f t="shared" si="40"/>
        <v>10</v>
      </c>
      <c r="C528" s="56">
        <f t="shared" si="39"/>
        <v>41</v>
      </c>
      <c r="D528" s="56"/>
      <c r="E528" s="56" t="e">
        <f>VLOOKUP(D528,姓名檔!$A$2:$G$159,4,0)</f>
        <v>#N/A</v>
      </c>
      <c r="F528" s="56" t="s">
        <v>15</v>
      </c>
      <c r="G528" s="56" t="str">
        <f>VLOOKUP(F528,姓名檔!$H$3:$I$18,2)</f>
        <v>主日奉獻</v>
      </c>
      <c r="H528" s="56" t="e">
        <f>VLOOKUP(D528,姓名檔!$A$2:G$159,5,0)</f>
        <v>#N/A</v>
      </c>
      <c r="I528" s="56"/>
      <c r="J528" s="141"/>
      <c r="K528" s="56"/>
      <c r="L528" s="57"/>
    </row>
    <row r="529" spans="1:12" x14ac:dyDescent="0.3">
      <c r="A529" s="55">
        <v>46299</v>
      </c>
      <c r="B529" s="56">
        <f t="shared" si="40"/>
        <v>10</v>
      </c>
      <c r="C529" s="56">
        <f t="shared" si="39"/>
        <v>41</v>
      </c>
      <c r="D529" s="56"/>
      <c r="E529" s="56" t="e">
        <f>VLOOKUP(D529,姓名檔!$A$2:$G$159,4,0)</f>
        <v>#N/A</v>
      </c>
      <c r="F529" s="56" t="s">
        <v>15</v>
      </c>
      <c r="G529" s="56" t="str">
        <f>VLOOKUP(F529,姓名檔!$H$3:$I$18,2)</f>
        <v>主日奉獻</v>
      </c>
      <c r="H529" s="56" t="e">
        <f>VLOOKUP(D529,姓名檔!$A$2:G$159,5,0)</f>
        <v>#N/A</v>
      </c>
      <c r="I529" s="56"/>
      <c r="J529" s="141"/>
      <c r="K529" s="56"/>
      <c r="L529" s="57"/>
    </row>
    <row r="530" spans="1:12" x14ac:dyDescent="0.3">
      <c r="A530" s="55">
        <v>46299</v>
      </c>
      <c r="B530" s="56">
        <f t="shared" si="40"/>
        <v>10</v>
      </c>
      <c r="C530" s="56">
        <f t="shared" si="39"/>
        <v>41</v>
      </c>
      <c r="D530" s="56"/>
      <c r="E530" s="56" t="e">
        <f>VLOOKUP(D530,姓名檔!$A$2:$G$159,4,0)</f>
        <v>#N/A</v>
      </c>
      <c r="F530" s="56" t="s">
        <v>15</v>
      </c>
      <c r="G530" s="56" t="str">
        <f>VLOOKUP(F530,姓名檔!$H$3:$I$18,2)</f>
        <v>主日奉獻</v>
      </c>
      <c r="H530" s="56" t="e">
        <f>VLOOKUP(D530,姓名檔!$A$2:G$159,5,0)</f>
        <v>#N/A</v>
      </c>
      <c r="I530" s="56"/>
      <c r="J530" s="141"/>
      <c r="K530" s="56"/>
      <c r="L530" s="57"/>
    </row>
    <row r="531" spans="1:12" x14ac:dyDescent="0.3">
      <c r="A531" s="55">
        <v>46299</v>
      </c>
      <c r="B531" s="56">
        <f t="shared" si="40"/>
        <v>10</v>
      </c>
      <c r="C531" s="56">
        <f t="shared" si="39"/>
        <v>41</v>
      </c>
      <c r="D531" s="56"/>
      <c r="E531" s="56" t="e">
        <f>VLOOKUP(D531,姓名檔!$A$2:$G$159,4,0)</f>
        <v>#N/A</v>
      </c>
      <c r="F531" s="56" t="s">
        <v>15</v>
      </c>
      <c r="G531" s="56" t="str">
        <f>VLOOKUP(F531,姓名檔!$H$3:$I$18,2)</f>
        <v>主日奉獻</v>
      </c>
      <c r="H531" s="56" t="e">
        <f>VLOOKUP(D531,姓名檔!$A$2:G$159,5,0)</f>
        <v>#N/A</v>
      </c>
      <c r="I531" s="56"/>
      <c r="J531" s="141"/>
      <c r="K531" s="56"/>
      <c r="L531" s="57"/>
    </row>
    <row r="532" spans="1:12" x14ac:dyDescent="0.3">
      <c r="A532" s="55">
        <v>46299</v>
      </c>
      <c r="B532" s="56">
        <f t="shared" si="40"/>
        <v>10</v>
      </c>
      <c r="C532" s="56">
        <f t="shared" si="39"/>
        <v>41</v>
      </c>
      <c r="D532" s="56"/>
      <c r="E532" s="56" t="e">
        <f>VLOOKUP(D532,姓名檔!$A$2:$G$159,4,0)</f>
        <v>#N/A</v>
      </c>
      <c r="F532" s="56" t="s">
        <v>15</v>
      </c>
      <c r="G532" s="56" t="str">
        <f>VLOOKUP(F532,姓名檔!$H$3:$I$18,2)</f>
        <v>主日奉獻</v>
      </c>
      <c r="H532" s="56" t="e">
        <f>VLOOKUP(D532,姓名檔!$A$2:G$159,5,0)</f>
        <v>#N/A</v>
      </c>
      <c r="I532" s="56"/>
      <c r="J532" s="141"/>
      <c r="K532" s="56"/>
      <c r="L532" s="57"/>
    </row>
    <row r="533" spans="1:12" x14ac:dyDescent="0.3">
      <c r="A533" s="55">
        <v>46299</v>
      </c>
      <c r="B533" s="56">
        <f t="shared" si="40"/>
        <v>10</v>
      </c>
      <c r="C533" s="56">
        <f t="shared" si="39"/>
        <v>41</v>
      </c>
      <c r="D533" s="56"/>
      <c r="E533" s="56" t="e">
        <f>VLOOKUP(D533,姓名檔!$A$2:$G$159,4,0)</f>
        <v>#N/A</v>
      </c>
      <c r="F533" s="56" t="s">
        <v>15</v>
      </c>
      <c r="G533" s="56" t="str">
        <f>VLOOKUP(F533,姓名檔!$H$3:$I$18,2)</f>
        <v>主日奉獻</v>
      </c>
      <c r="H533" s="56" t="e">
        <f>VLOOKUP(D533,姓名檔!$A$2:G$159,5,0)</f>
        <v>#N/A</v>
      </c>
      <c r="I533" s="56"/>
      <c r="J533" s="141"/>
      <c r="K533" s="56"/>
      <c r="L533" s="57"/>
    </row>
    <row r="534" spans="1:12" x14ac:dyDescent="0.3">
      <c r="A534" s="55">
        <v>46299</v>
      </c>
      <c r="B534" s="56">
        <f t="shared" si="40"/>
        <v>10</v>
      </c>
      <c r="C534" s="56">
        <f t="shared" si="39"/>
        <v>41</v>
      </c>
      <c r="D534" s="56"/>
      <c r="E534" s="56" t="e">
        <f>VLOOKUP(D534,姓名檔!$A$2:$G$159,4,0)</f>
        <v>#N/A</v>
      </c>
      <c r="F534" s="56" t="s">
        <v>15</v>
      </c>
      <c r="G534" s="56" t="str">
        <f>VLOOKUP(F534,姓名檔!$H$3:$I$18,2)</f>
        <v>主日奉獻</v>
      </c>
      <c r="H534" s="56" t="e">
        <f>VLOOKUP(D534,姓名檔!$A$2:G$159,5,0)</f>
        <v>#N/A</v>
      </c>
      <c r="I534" s="56"/>
      <c r="J534" s="141"/>
      <c r="K534" s="56"/>
      <c r="L534" s="57"/>
    </row>
    <row r="535" spans="1:12" x14ac:dyDescent="0.3">
      <c r="A535" s="55">
        <v>46299</v>
      </c>
      <c r="B535" s="56">
        <f t="shared" si="40"/>
        <v>10</v>
      </c>
      <c r="C535" s="56">
        <f t="shared" si="39"/>
        <v>41</v>
      </c>
      <c r="D535" s="56"/>
      <c r="E535" s="56" t="e">
        <f>VLOOKUP(D535,姓名檔!$A$2:$G$159,4,0)</f>
        <v>#N/A</v>
      </c>
      <c r="F535" s="56" t="s">
        <v>15</v>
      </c>
      <c r="G535" s="56" t="str">
        <f>VLOOKUP(F535,姓名檔!$H$3:$I$18,2)</f>
        <v>主日奉獻</v>
      </c>
      <c r="H535" s="56" t="e">
        <f>VLOOKUP(D535,姓名檔!$A$2:G$159,5,0)</f>
        <v>#N/A</v>
      </c>
      <c r="I535" s="56"/>
      <c r="J535" s="141"/>
      <c r="K535" s="56"/>
      <c r="L535" s="57"/>
    </row>
    <row r="536" spans="1:12" x14ac:dyDescent="0.3">
      <c r="A536" s="55">
        <v>46299</v>
      </c>
      <c r="B536" s="56">
        <f t="shared" si="40"/>
        <v>10</v>
      </c>
      <c r="C536" s="56">
        <f t="shared" si="39"/>
        <v>41</v>
      </c>
      <c r="D536" s="56"/>
      <c r="E536" s="56" t="e">
        <f>VLOOKUP(D536,姓名檔!$A$2:$G$159,4,0)</f>
        <v>#N/A</v>
      </c>
      <c r="F536" s="56" t="s">
        <v>15</v>
      </c>
      <c r="G536" s="56" t="str">
        <f>VLOOKUP(F536,姓名檔!$H$3:$I$18,2)</f>
        <v>主日奉獻</v>
      </c>
      <c r="H536" s="56" t="e">
        <f>VLOOKUP(D536,姓名檔!$A$2:G$159,5,0)</f>
        <v>#N/A</v>
      </c>
      <c r="I536" s="56"/>
      <c r="J536" s="141"/>
      <c r="K536" s="56"/>
      <c r="L536" s="57"/>
    </row>
    <row r="537" spans="1:12" x14ac:dyDescent="0.3">
      <c r="A537" s="55">
        <v>46299</v>
      </c>
      <c r="B537" s="56">
        <f t="shared" si="40"/>
        <v>10</v>
      </c>
      <c r="C537" s="56">
        <f t="shared" si="39"/>
        <v>41</v>
      </c>
      <c r="D537" s="56"/>
      <c r="E537" s="56" t="e">
        <f>VLOOKUP(D537,姓名檔!$A$2:$G$159,4,0)</f>
        <v>#N/A</v>
      </c>
      <c r="F537" s="56" t="s">
        <v>15</v>
      </c>
      <c r="G537" s="56" t="str">
        <f>VLOOKUP(F537,姓名檔!$H$3:$I$18,2)</f>
        <v>主日奉獻</v>
      </c>
      <c r="H537" s="56" t="e">
        <f>VLOOKUP(D537,姓名檔!$A$2:G$159,5,0)</f>
        <v>#N/A</v>
      </c>
      <c r="I537" s="56"/>
      <c r="J537" s="141"/>
      <c r="K537" s="56"/>
      <c r="L537" s="57"/>
    </row>
    <row r="538" spans="1:12" x14ac:dyDescent="0.3">
      <c r="A538" s="55">
        <v>46299</v>
      </c>
      <c r="B538" s="56">
        <f t="shared" si="40"/>
        <v>10</v>
      </c>
      <c r="C538" s="56">
        <f t="shared" si="39"/>
        <v>41</v>
      </c>
      <c r="D538" s="56"/>
      <c r="E538" s="56" t="e">
        <f>VLOOKUP(D538,姓名檔!$A$2:$G$159,4,0)</f>
        <v>#N/A</v>
      </c>
      <c r="F538" s="56" t="s">
        <v>15</v>
      </c>
      <c r="G538" s="56" t="str">
        <f>VLOOKUP(F538,姓名檔!$H$3:$I$18,2)</f>
        <v>主日奉獻</v>
      </c>
      <c r="H538" s="56" t="e">
        <f>VLOOKUP(D538,姓名檔!$A$2:G$159,5,0)</f>
        <v>#N/A</v>
      </c>
      <c r="I538" s="56"/>
      <c r="J538" s="141"/>
      <c r="K538" s="56"/>
      <c r="L538" s="57"/>
    </row>
    <row r="539" spans="1:12" x14ac:dyDescent="0.3">
      <c r="A539" s="55">
        <v>46299</v>
      </c>
      <c r="B539" s="56">
        <f t="shared" si="40"/>
        <v>10</v>
      </c>
      <c r="C539" s="56">
        <f t="shared" si="39"/>
        <v>41</v>
      </c>
      <c r="D539" s="56"/>
      <c r="E539" s="56" t="e">
        <f>VLOOKUP(D539,姓名檔!$A$2:$G$159,4,0)</f>
        <v>#N/A</v>
      </c>
      <c r="F539" s="56" t="s">
        <v>15</v>
      </c>
      <c r="G539" s="56" t="str">
        <f>VLOOKUP(F539,姓名檔!$H$3:$I$18,2)</f>
        <v>主日奉獻</v>
      </c>
      <c r="H539" s="56" t="e">
        <f>VLOOKUP(D539,姓名檔!$A$2:G$159,5,0)</f>
        <v>#N/A</v>
      </c>
      <c r="I539" s="56"/>
      <c r="J539" s="141"/>
      <c r="K539" s="56"/>
      <c r="L539" s="57"/>
    </row>
    <row r="540" spans="1:12" x14ac:dyDescent="0.3">
      <c r="A540" s="55">
        <v>46299</v>
      </c>
      <c r="B540" s="56">
        <f t="shared" si="40"/>
        <v>10</v>
      </c>
      <c r="C540" s="56">
        <f t="shared" si="39"/>
        <v>41</v>
      </c>
      <c r="D540" s="56"/>
      <c r="E540" s="56" t="e">
        <f>VLOOKUP(D540,姓名檔!$A$2:$G$159,4,0)</f>
        <v>#N/A</v>
      </c>
      <c r="F540" s="56" t="s">
        <v>15</v>
      </c>
      <c r="G540" s="56" t="str">
        <f>VLOOKUP(F540,姓名檔!$H$3:$I$18,2)</f>
        <v>主日奉獻</v>
      </c>
      <c r="H540" s="56" t="e">
        <f>VLOOKUP(D540,姓名檔!$A$2:G$159,5,0)</f>
        <v>#N/A</v>
      </c>
      <c r="I540" s="56"/>
      <c r="J540" s="141"/>
      <c r="K540" s="56"/>
      <c r="L540" s="57"/>
    </row>
    <row r="541" spans="1:12" x14ac:dyDescent="0.3">
      <c r="A541" s="55">
        <v>46299</v>
      </c>
      <c r="B541" s="56">
        <f t="shared" si="40"/>
        <v>10</v>
      </c>
      <c r="C541" s="56">
        <f t="shared" si="39"/>
        <v>41</v>
      </c>
      <c r="D541" s="56"/>
      <c r="E541" s="56" t="e">
        <f>VLOOKUP(D541,姓名檔!$A$2:$G$159,4,0)</f>
        <v>#N/A</v>
      </c>
      <c r="F541" s="56" t="s">
        <v>15</v>
      </c>
      <c r="G541" s="56" t="str">
        <f>VLOOKUP(F541,姓名檔!$H$3:$I$18,2)</f>
        <v>主日奉獻</v>
      </c>
      <c r="H541" s="56" t="e">
        <f>VLOOKUP(D541,姓名檔!$A$2:G$159,5,0)</f>
        <v>#N/A</v>
      </c>
      <c r="I541" s="56"/>
      <c r="J541" s="141"/>
      <c r="K541" s="56"/>
      <c r="L541" s="57"/>
    </row>
    <row r="542" spans="1:12" x14ac:dyDescent="0.3">
      <c r="A542" s="55">
        <v>46299</v>
      </c>
      <c r="B542" s="56">
        <f t="shared" si="40"/>
        <v>10</v>
      </c>
      <c r="C542" s="56">
        <f t="shared" si="39"/>
        <v>41</v>
      </c>
      <c r="D542" s="56"/>
      <c r="E542" s="56" t="e">
        <f>VLOOKUP(D542,姓名檔!$A$2:$G$159,4,0)</f>
        <v>#N/A</v>
      </c>
      <c r="F542" s="56" t="s">
        <v>15</v>
      </c>
      <c r="G542" s="56" t="str">
        <f>VLOOKUP(F542,姓名檔!$H$3:$I$18,2)</f>
        <v>主日奉獻</v>
      </c>
      <c r="H542" s="56" t="e">
        <f>VLOOKUP(D542,姓名檔!$A$2:G$159,5,0)</f>
        <v>#N/A</v>
      </c>
      <c r="I542" s="56"/>
      <c r="J542" s="141"/>
      <c r="K542" s="56"/>
      <c r="L542" s="57"/>
    </row>
    <row r="543" spans="1:12" x14ac:dyDescent="0.3">
      <c r="A543" s="55">
        <v>46299</v>
      </c>
      <c r="B543" s="56">
        <f t="shared" si="40"/>
        <v>10</v>
      </c>
      <c r="C543" s="56">
        <f t="shared" si="39"/>
        <v>41</v>
      </c>
      <c r="D543" s="56"/>
      <c r="E543" s="56" t="e">
        <f>VLOOKUP(D543,姓名檔!$A$2:$G$159,4,0)</f>
        <v>#N/A</v>
      </c>
      <c r="F543" s="56" t="s">
        <v>15</v>
      </c>
      <c r="G543" s="56" t="str">
        <f>VLOOKUP(F543,姓名檔!$H$3:$I$18,2)</f>
        <v>主日奉獻</v>
      </c>
      <c r="H543" s="56" t="e">
        <f>VLOOKUP(D543,姓名檔!$A$2:G$159,5,0)</f>
        <v>#N/A</v>
      </c>
      <c r="I543" s="56"/>
      <c r="J543" s="141"/>
      <c r="K543" s="56"/>
      <c r="L543" s="57"/>
    </row>
    <row r="544" spans="1:12" x14ac:dyDescent="0.3">
      <c r="A544" s="55">
        <v>46299</v>
      </c>
      <c r="B544" s="56">
        <f t="shared" si="40"/>
        <v>10</v>
      </c>
      <c r="C544" s="56">
        <f t="shared" si="39"/>
        <v>41</v>
      </c>
      <c r="D544" s="56"/>
      <c r="E544" s="56" t="e">
        <f>VLOOKUP(D544,姓名檔!$A$2:$G$159,4,0)</f>
        <v>#N/A</v>
      </c>
      <c r="F544" s="56" t="s">
        <v>15</v>
      </c>
      <c r="G544" s="56" t="str">
        <f>VLOOKUP(F544,姓名檔!$H$3:$I$18,2)</f>
        <v>主日奉獻</v>
      </c>
      <c r="H544" s="56" t="e">
        <f>VLOOKUP(D544,姓名檔!$A$2:G$159,5,0)</f>
        <v>#N/A</v>
      </c>
      <c r="I544" s="56"/>
      <c r="J544" s="141"/>
      <c r="K544" s="56"/>
      <c r="L544" s="57"/>
    </row>
    <row r="545" spans="1:12" x14ac:dyDescent="0.3">
      <c r="A545" s="55">
        <v>46299</v>
      </c>
      <c r="B545" s="56">
        <f t="shared" si="40"/>
        <v>10</v>
      </c>
      <c r="C545" s="56">
        <f t="shared" si="39"/>
        <v>41</v>
      </c>
      <c r="D545" s="56"/>
      <c r="E545" s="56" t="e">
        <f>VLOOKUP(D545,姓名檔!$A$2:$G$159,4,0)</f>
        <v>#N/A</v>
      </c>
      <c r="F545" s="56" t="s">
        <v>15</v>
      </c>
      <c r="G545" s="56" t="str">
        <f>VLOOKUP(F545,姓名檔!$H$3:$I$18,2)</f>
        <v>主日奉獻</v>
      </c>
      <c r="H545" s="56" t="e">
        <f>VLOOKUP(D545,姓名檔!$A$2:G$159,5,0)</f>
        <v>#N/A</v>
      </c>
      <c r="I545" s="56"/>
      <c r="J545" s="141"/>
      <c r="K545" s="56"/>
      <c r="L545" s="57"/>
    </row>
    <row r="546" spans="1:12" x14ac:dyDescent="0.3">
      <c r="A546" s="55">
        <v>46299</v>
      </c>
      <c r="B546" s="56">
        <f t="shared" si="40"/>
        <v>10</v>
      </c>
      <c r="C546" s="56">
        <f t="shared" si="39"/>
        <v>41</v>
      </c>
      <c r="D546" s="56"/>
      <c r="E546" s="56" t="e">
        <f>VLOOKUP(D546,姓名檔!$A$2:$G$159,4,0)</f>
        <v>#N/A</v>
      </c>
      <c r="F546" s="56" t="s">
        <v>15</v>
      </c>
      <c r="G546" s="56" t="str">
        <f>VLOOKUP(F546,姓名檔!$H$3:$I$18,2)</f>
        <v>主日奉獻</v>
      </c>
      <c r="H546" s="56" t="e">
        <f>VLOOKUP(D546,姓名檔!$A$2:G$159,5,0)</f>
        <v>#N/A</v>
      </c>
      <c r="I546" s="56"/>
      <c r="J546" s="142"/>
      <c r="K546" s="6"/>
      <c r="L546" s="8"/>
    </row>
    <row r="547" spans="1:12" x14ac:dyDescent="0.3">
      <c r="A547" s="5">
        <v>46299</v>
      </c>
      <c r="B547" s="56">
        <f t="shared" si="40"/>
        <v>10</v>
      </c>
      <c r="C547" s="56">
        <f t="shared" si="39"/>
        <v>41</v>
      </c>
      <c r="D547" s="56"/>
      <c r="E547" s="56" t="e">
        <f>VLOOKUP(D547,姓名檔!$A$2:$G$159,4,0)</f>
        <v>#N/A</v>
      </c>
      <c r="F547" s="56" t="s">
        <v>15</v>
      </c>
      <c r="G547" s="56" t="str">
        <f>VLOOKUP(F547,姓名檔!$H$3:$I$18,2)</f>
        <v>主日奉獻</v>
      </c>
      <c r="H547" s="56" t="e">
        <f>VLOOKUP(D547,姓名檔!$A$2:G$159,5,0)</f>
        <v>#N/A</v>
      </c>
      <c r="I547" s="56"/>
      <c r="J547" s="142"/>
      <c r="K547" s="6"/>
      <c r="L547" s="8"/>
    </row>
    <row r="548" spans="1:12" x14ac:dyDescent="0.3">
      <c r="A548" s="5">
        <v>46299</v>
      </c>
      <c r="B548" s="56">
        <f t="shared" si="40"/>
        <v>10</v>
      </c>
      <c r="C548" s="56">
        <f t="shared" si="39"/>
        <v>41</v>
      </c>
      <c r="D548" s="56"/>
      <c r="E548" s="56" t="e">
        <f>VLOOKUP(D548,姓名檔!$A$2:$G$159,4,0)</f>
        <v>#N/A</v>
      </c>
      <c r="F548" s="56" t="s">
        <v>15</v>
      </c>
      <c r="G548" s="56" t="str">
        <f>VLOOKUP(F548,姓名檔!$H$3:$I$18,2)</f>
        <v>主日奉獻</v>
      </c>
      <c r="H548" s="56" t="e">
        <f>VLOOKUP(D548,姓名檔!$A$2:G$159,5,0)</f>
        <v>#N/A</v>
      </c>
      <c r="I548" s="56"/>
      <c r="J548" s="142"/>
      <c r="K548" s="6"/>
      <c r="L548" s="8"/>
    </row>
    <row r="549" spans="1:12" x14ac:dyDescent="0.3">
      <c r="A549" s="5">
        <v>46299</v>
      </c>
      <c r="B549" s="56">
        <f t="shared" si="40"/>
        <v>10</v>
      </c>
      <c r="C549" s="56">
        <f t="shared" si="39"/>
        <v>41</v>
      </c>
      <c r="D549" s="56"/>
      <c r="E549" s="56" t="e">
        <f>VLOOKUP(D549,姓名檔!$A$2:$G$159,4,0)</f>
        <v>#N/A</v>
      </c>
      <c r="F549" s="56" t="s">
        <v>15</v>
      </c>
      <c r="G549" s="56" t="str">
        <f>VLOOKUP(F549,姓名檔!$H$3:$I$18,2)</f>
        <v>主日奉獻</v>
      </c>
      <c r="H549" s="56" t="e">
        <f>VLOOKUP(D549,姓名檔!$A$2:G$159,5,0)</f>
        <v>#N/A</v>
      </c>
      <c r="I549" s="56"/>
      <c r="J549" s="142"/>
      <c r="K549" s="6"/>
      <c r="L549" s="8"/>
    </row>
    <row r="550" spans="1:12" x14ac:dyDescent="0.3">
      <c r="A550" s="5">
        <v>46299</v>
      </c>
      <c r="B550" s="56">
        <f t="shared" si="40"/>
        <v>10</v>
      </c>
      <c r="C550" s="56">
        <f t="shared" si="39"/>
        <v>41</v>
      </c>
      <c r="D550" s="56"/>
      <c r="E550" s="56" t="e">
        <f>VLOOKUP(D550,姓名檔!$A$2:$G$159,4,0)</f>
        <v>#N/A</v>
      </c>
      <c r="F550" s="56" t="s">
        <v>15</v>
      </c>
      <c r="G550" s="56" t="str">
        <f>VLOOKUP(F550,姓名檔!$H$3:$I$18,2)</f>
        <v>主日奉獻</v>
      </c>
      <c r="H550" s="56" t="e">
        <f>VLOOKUP(D550,姓名檔!$A$2:G$159,5,0)</f>
        <v>#N/A</v>
      </c>
      <c r="I550" s="56"/>
      <c r="J550" s="142"/>
      <c r="K550" s="6"/>
      <c r="L550" s="8"/>
    </row>
    <row r="551" spans="1:12" x14ac:dyDescent="0.3">
      <c r="A551" s="5">
        <v>46299</v>
      </c>
      <c r="B551" s="56">
        <f t="shared" si="40"/>
        <v>10</v>
      </c>
      <c r="C551" s="56">
        <f t="shared" si="39"/>
        <v>41</v>
      </c>
      <c r="D551" s="56"/>
      <c r="E551" s="56" t="e">
        <f>VLOOKUP(D551,姓名檔!$A$2:$G$159,4,0)</f>
        <v>#N/A</v>
      </c>
      <c r="F551" s="56" t="s">
        <v>15</v>
      </c>
      <c r="G551" s="56" t="str">
        <f>VLOOKUP(F551,姓名檔!$H$3:$I$18,2)</f>
        <v>主日奉獻</v>
      </c>
      <c r="H551" s="56" t="e">
        <f>VLOOKUP(D551,姓名檔!$A$2:G$159,5,0)</f>
        <v>#N/A</v>
      </c>
      <c r="I551" s="56"/>
      <c r="J551" s="142"/>
      <c r="K551" s="6"/>
      <c r="L551" s="8"/>
    </row>
    <row r="552" spans="1:12" x14ac:dyDescent="0.3">
      <c r="A552" s="5">
        <v>46299</v>
      </c>
      <c r="B552" s="56">
        <f t="shared" si="40"/>
        <v>10</v>
      </c>
      <c r="C552" s="56">
        <f t="shared" si="39"/>
        <v>41</v>
      </c>
      <c r="D552" s="56"/>
      <c r="E552" s="56" t="e">
        <f>VLOOKUP(D552,姓名檔!$A$2:$G$159,4,0)</f>
        <v>#N/A</v>
      </c>
      <c r="F552" s="56" t="s">
        <v>15</v>
      </c>
      <c r="G552" s="56" t="str">
        <f>VLOOKUP(F552,姓名檔!$H$3:$I$18,2)</f>
        <v>主日奉獻</v>
      </c>
      <c r="H552" s="56" t="e">
        <f>VLOOKUP(D552,姓名檔!$A$2:G$159,5,0)</f>
        <v>#N/A</v>
      </c>
      <c r="I552" s="56"/>
      <c r="J552" s="142"/>
      <c r="K552" s="6"/>
      <c r="L552" s="8"/>
    </row>
    <row r="553" spans="1:12" x14ac:dyDescent="0.3">
      <c r="A553" s="5">
        <v>46299</v>
      </c>
      <c r="B553" s="56">
        <f t="shared" si="40"/>
        <v>10</v>
      </c>
      <c r="C553" s="56">
        <f t="shared" si="39"/>
        <v>41</v>
      </c>
      <c r="D553" s="56"/>
      <c r="E553" s="56" t="e">
        <f>VLOOKUP(D553,姓名檔!$A$2:$G$159,4,0)</f>
        <v>#N/A</v>
      </c>
      <c r="F553" s="56" t="s">
        <v>15</v>
      </c>
      <c r="G553" s="56" t="str">
        <f>VLOOKUP(F553,姓名檔!$H$3:$I$18,2)</f>
        <v>主日奉獻</v>
      </c>
      <c r="H553" s="56" t="e">
        <f>VLOOKUP(D553,姓名檔!$A$2:G$159,5,0)</f>
        <v>#N/A</v>
      </c>
      <c r="I553" s="56"/>
      <c r="J553" s="142"/>
      <c r="K553" s="6"/>
      <c r="L553" s="8"/>
    </row>
    <row r="554" spans="1:12" x14ac:dyDescent="0.3">
      <c r="A554" s="5">
        <v>46299</v>
      </c>
      <c r="B554" s="56">
        <f t="shared" si="40"/>
        <v>10</v>
      </c>
      <c r="C554" s="56">
        <f t="shared" si="39"/>
        <v>41</v>
      </c>
      <c r="D554" s="56"/>
      <c r="E554" s="56" t="e">
        <f>VLOOKUP(D554,姓名檔!$A$2:$G$159,4,0)</f>
        <v>#N/A</v>
      </c>
      <c r="F554" s="56" t="s">
        <v>15</v>
      </c>
      <c r="G554" s="56" t="str">
        <f>VLOOKUP(F554,姓名檔!$H$3:$I$18,2)</f>
        <v>主日奉獻</v>
      </c>
      <c r="H554" s="56" t="e">
        <f>VLOOKUP(D554,姓名檔!$A$2:G$159,5,0)</f>
        <v>#N/A</v>
      </c>
      <c r="I554" s="56"/>
      <c r="J554" s="142"/>
      <c r="K554" s="6"/>
      <c r="L554" s="8"/>
    </row>
    <row r="555" spans="1:12" x14ac:dyDescent="0.3">
      <c r="A555" s="5">
        <v>46299</v>
      </c>
      <c r="B555" s="56">
        <f t="shared" si="40"/>
        <v>10</v>
      </c>
      <c r="C555" s="56">
        <f t="shared" si="39"/>
        <v>41</v>
      </c>
      <c r="D555" s="56"/>
      <c r="E555" s="56" t="e">
        <f>VLOOKUP(D555,姓名檔!$A$2:$G$159,4,0)</f>
        <v>#N/A</v>
      </c>
      <c r="F555" s="56" t="s">
        <v>15</v>
      </c>
      <c r="G555" s="56" t="str">
        <f>VLOOKUP(F555,姓名檔!$H$3:$I$18,2)</f>
        <v>主日奉獻</v>
      </c>
      <c r="H555" s="56" t="e">
        <f>VLOOKUP(D555,姓名檔!$A$2:G$159,5,0)</f>
        <v>#N/A</v>
      </c>
      <c r="I555" s="56"/>
      <c r="J555" s="142"/>
      <c r="K555" s="6"/>
      <c r="L555" s="8"/>
    </row>
    <row r="556" spans="1:12" x14ac:dyDescent="0.3">
      <c r="A556" s="5">
        <v>46299</v>
      </c>
      <c r="B556" s="56">
        <f t="shared" si="40"/>
        <v>10</v>
      </c>
      <c r="C556" s="56">
        <f t="shared" si="39"/>
        <v>41</v>
      </c>
      <c r="D556" s="56"/>
      <c r="E556" s="56" t="e">
        <f>VLOOKUP(D556,姓名檔!$A$2:$G$159,4,0)</f>
        <v>#N/A</v>
      </c>
      <c r="F556" s="56" t="s">
        <v>15</v>
      </c>
      <c r="G556" s="56" t="str">
        <f>VLOOKUP(F556,姓名檔!$H$3:$I$18,2)</f>
        <v>主日奉獻</v>
      </c>
      <c r="H556" s="56" t="e">
        <f>VLOOKUP(D556,姓名檔!$A$2:G$159,5,0)</f>
        <v>#N/A</v>
      </c>
      <c r="I556" s="56"/>
      <c r="J556" s="142"/>
      <c r="K556" s="6"/>
      <c r="L556" s="8"/>
    </row>
    <row r="557" spans="1:12" x14ac:dyDescent="0.3">
      <c r="A557" s="5">
        <v>46299</v>
      </c>
      <c r="B557" s="56">
        <f t="shared" si="40"/>
        <v>10</v>
      </c>
      <c r="C557" s="56">
        <f t="shared" si="39"/>
        <v>41</v>
      </c>
      <c r="D557" s="124"/>
      <c r="E557" s="56" t="e">
        <f>VLOOKUP(D557,姓名檔!$A$2:$G$159,4,0)</f>
        <v>#N/A</v>
      </c>
      <c r="F557" s="56" t="s">
        <v>15</v>
      </c>
      <c r="G557" s="56" t="str">
        <f>VLOOKUP(F557,姓名檔!$H$3:$I$18,2)</f>
        <v>主日奉獻</v>
      </c>
      <c r="H557" s="56" t="e">
        <f>VLOOKUP(D557,姓名檔!$A$2:G$159,5,0)</f>
        <v>#N/A</v>
      </c>
      <c r="I557" s="56"/>
      <c r="J557" s="142"/>
      <c r="K557" s="6"/>
      <c r="L557" s="8"/>
    </row>
    <row r="558" spans="1:12" x14ac:dyDescent="0.3">
      <c r="A558" s="5">
        <v>46299</v>
      </c>
      <c r="B558" s="56">
        <f t="shared" si="40"/>
        <v>10</v>
      </c>
      <c r="C558" s="56">
        <f t="shared" si="39"/>
        <v>41</v>
      </c>
      <c r="D558" s="124"/>
      <c r="E558" s="56" t="e">
        <f>VLOOKUP(D558,姓名檔!$A$2:$G$159,4,0)</f>
        <v>#N/A</v>
      </c>
      <c r="F558" s="56" t="s">
        <v>15</v>
      </c>
      <c r="G558" s="56" t="str">
        <f>VLOOKUP(F558,姓名檔!$H$3:$I$18,2)</f>
        <v>主日奉獻</v>
      </c>
      <c r="H558" s="56" t="e">
        <f>VLOOKUP(D558,姓名檔!$A$2:G$159,5,0)</f>
        <v>#N/A</v>
      </c>
      <c r="I558" s="56"/>
      <c r="J558" s="142"/>
      <c r="K558" s="6"/>
      <c r="L558" s="8"/>
    </row>
    <row r="559" spans="1:12" x14ac:dyDescent="0.3">
      <c r="A559" s="5">
        <v>46299</v>
      </c>
      <c r="B559" s="56">
        <f t="shared" si="40"/>
        <v>10</v>
      </c>
      <c r="C559" s="56">
        <f t="shared" si="39"/>
        <v>41</v>
      </c>
      <c r="D559" s="56"/>
      <c r="E559" s="56" t="e">
        <f>VLOOKUP(D559,姓名檔!$A$2:$G$159,4,0)</f>
        <v>#N/A</v>
      </c>
      <c r="F559" s="56" t="s">
        <v>15</v>
      </c>
      <c r="G559" s="56" t="str">
        <f>VLOOKUP(F559,姓名檔!$H$3:$I$18,2)</f>
        <v>主日奉獻</v>
      </c>
      <c r="H559" s="56" t="e">
        <f>VLOOKUP(D559,姓名檔!$A$2:G$159,5,0)</f>
        <v>#N/A</v>
      </c>
      <c r="I559" s="56"/>
      <c r="J559" s="142"/>
      <c r="K559" s="6"/>
      <c r="L559" s="8"/>
    </row>
    <row r="560" spans="1:12" x14ac:dyDescent="0.3">
      <c r="A560" s="5">
        <v>46299</v>
      </c>
      <c r="B560" s="56">
        <f t="shared" si="40"/>
        <v>10</v>
      </c>
      <c r="C560" s="56">
        <f t="shared" si="39"/>
        <v>41</v>
      </c>
      <c r="D560" s="124"/>
      <c r="E560" s="56" t="e">
        <f>VLOOKUP(D560,姓名檔!$A$2:$G$159,4,0)</f>
        <v>#N/A</v>
      </c>
      <c r="F560" s="56" t="s">
        <v>19</v>
      </c>
      <c r="G560" s="56" t="str">
        <f>VLOOKUP(F560,姓名檔!$H$3:$I$18,2)</f>
        <v>其他收入</v>
      </c>
      <c r="H560" s="56" t="e">
        <f>VLOOKUP(D560,姓名檔!$A$2:G$159,5,0)</f>
        <v>#N/A</v>
      </c>
      <c r="I560" s="56"/>
      <c r="J560" s="142"/>
      <c r="K560" s="6"/>
      <c r="L560" s="8"/>
    </row>
    <row r="561" spans="1:10" x14ac:dyDescent="0.3">
      <c r="A561" s="5">
        <v>46299</v>
      </c>
      <c r="B561" s="56">
        <f t="shared" si="40"/>
        <v>10</v>
      </c>
      <c r="C561" s="56">
        <f t="shared" si="39"/>
        <v>41</v>
      </c>
      <c r="D561" s="72"/>
      <c r="E561" s="72"/>
      <c r="F561" s="72"/>
      <c r="G561" s="72"/>
      <c r="H561" s="72"/>
      <c r="I561" s="72"/>
      <c r="J561" s="143"/>
    </row>
    <row r="562" spans="1:10" x14ac:dyDescent="0.3">
      <c r="A562" s="5">
        <v>46299</v>
      </c>
      <c r="B562" s="56">
        <f t="shared" si="40"/>
        <v>10</v>
      </c>
      <c r="C562" s="56">
        <f t="shared" ref="C562:C566" si="41">WEEKNUM(A563)</f>
        <v>41</v>
      </c>
      <c r="D562" s="72"/>
      <c r="E562" s="72"/>
      <c r="F562" s="72"/>
      <c r="G562" s="72"/>
      <c r="H562" s="72"/>
      <c r="I562" s="72"/>
      <c r="J562" s="143"/>
    </row>
    <row r="563" spans="1:10" x14ac:dyDescent="0.3">
      <c r="A563" s="5">
        <v>46299</v>
      </c>
      <c r="B563" s="56">
        <f t="shared" si="40"/>
        <v>10</v>
      </c>
      <c r="C563" s="56">
        <f t="shared" si="41"/>
        <v>41</v>
      </c>
      <c r="D563" s="72"/>
      <c r="E563" s="72"/>
      <c r="F563" s="72"/>
      <c r="G563" s="72"/>
      <c r="H563" s="72"/>
      <c r="I563" s="72"/>
      <c r="J563" s="143"/>
    </row>
    <row r="564" spans="1:10" x14ac:dyDescent="0.3">
      <c r="A564" s="5">
        <v>46299</v>
      </c>
      <c r="B564" s="56">
        <f t="shared" si="40"/>
        <v>10</v>
      </c>
      <c r="C564" s="56">
        <f t="shared" si="41"/>
        <v>41</v>
      </c>
      <c r="D564" s="72"/>
      <c r="E564" s="72"/>
      <c r="F564" s="72"/>
      <c r="G564" s="72"/>
      <c r="H564" s="72"/>
      <c r="I564" s="72"/>
      <c r="J564" s="143"/>
    </row>
    <row r="565" spans="1:10" x14ac:dyDescent="0.3">
      <c r="A565" s="5">
        <v>46299</v>
      </c>
      <c r="B565" s="56">
        <f t="shared" ref="B565:B566" si="42">MONTH(A565)</f>
        <v>10</v>
      </c>
      <c r="C565" s="56">
        <f t="shared" si="41"/>
        <v>0</v>
      </c>
      <c r="D565" s="72"/>
      <c r="E565" s="72"/>
      <c r="F565" s="72"/>
      <c r="G565" s="72"/>
      <c r="H565" s="72"/>
      <c r="I565" s="72"/>
    </row>
    <row r="566" spans="1:10" x14ac:dyDescent="0.3">
      <c r="B566" s="56">
        <f t="shared" si="42"/>
        <v>1</v>
      </c>
      <c r="C566" s="56">
        <f t="shared" si="41"/>
        <v>0</v>
      </c>
      <c r="D566" s="72"/>
      <c r="E566" s="72"/>
      <c r="F566" s="72"/>
      <c r="G566" s="72"/>
      <c r="H566" s="72"/>
      <c r="I566" s="72"/>
    </row>
    <row r="567" spans="1:10" x14ac:dyDescent="0.3">
      <c r="B567" s="72"/>
      <c r="C567" s="72"/>
      <c r="D567" s="72"/>
      <c r="E567" s="72"/>
      <c r="F567" s="72"/>
      <c r="G567" s="72"/>
      <c r="H567" s="72"/>
      <c r="I567" s="72"/>
    </row>
    <row r="568" spans="1:10" x14ac:dyDescent="0.3">
      <c r="B568" s="72"/>
      <c r="C568" s="72"/>
      <c r="D568" s="72"/>
      <c r="E568" s="72"/>
      <c r="F568" s="72"/>
      <c r="G568" s="72"/>
      <c r="H568" s="72"/>
      <c r="I568" s="72"/>
    </row>
    <row r="569" spans="1:10" x14ac:dyDescent="0.3">
      <c r="B569" s="72"/>
      <c r="C569" s="72"/>
      <c r="D569" s="72"/>
    </row>
    <row r="570" spans="1:10" x14ac:dyDescent="0.3">
      <c r="B570" s="72"/>
      <c r="C570" s="72"/>
      <c r="D570" s="72"/>
    </row>
  </sheetData>
  <autoFilter ref="A3:L566"/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2"/>
  <sheetViews>
    <sheetView zoomScale="90" zoomScaleNormal="90" workbookViewId="0">
      <pane ySplit="1" topLeftCell="A8" activePane="bottomLeft" state="frozen"/>
      <selection pane="bottomLeft" activeCell="D12" sqref="D12"/>
    </sheetView>
  </sheetViews>
  <sheetFormatPr defaultRowHeight="16.2" x14ac:dyDescent="0.3"/>
  <cols>
    <col min="4" max="4" width="33" bestFit="1" customWidth="1"/>
    <col min="5" max="5" width="14.44140625" customWidth="1"/>
    <col min="6" max="6" width="25.21875" customWidth="1"/>
    <col min="7" max="7" width="19.109375" bestFit="1" customWidth="1"/>
    <col min="8" max="8" width="11.77734375" customWidth="1"/>
    <col min="9" max="9" width="11" bestFit="1" customWidth="1"/>
    <col min="10" max="10" width="3.33203125" customWidth="1"/>
    <col min="12" max="12" width="21" customWidth="1"/>
  </cols>
  <sheetData>
    <row r="1" spans="1:14" ht="16.8" thickBot="1" x14ac:dyDescent="0.35"/>
    <row r="2" spans="1:14" ht="16.8" thickTop="1" x14ac:dyDescent="0.3">
      <c r="A2" s="78" t="s">
        <v>22</v>
      </c>
      <c r="B2" s="79" t="s">
        <v>23</v>
      </c>
      <c r="C2" s="80" t="s">
        <v>24</v>
      </c>
      <c r="D2" s="80" t="s">
        <v>5</v>
      </c>
      <c r="E2" s="80" t="s">
        <v>25</v>
      </c>
      <c r="F2" s="80" t="s">
        <v>26</v>
      </c>
      <c r="G2" s="125" t="s">
        <v>27</v>
      </c>
      <c r="H2" s="128" t="s">
        <v>6</v>
      </c>
      <c r="I2" s="129" t="s">
        <v>7</v>
      </c>
      <c r="K2" s="60" t="s">
        <v>28</v>
      </c>
      <c r="L2" s="80" t="s">
        <v>28</v>
      </c>
      <c r="M2" s="61"/>
      <c r="N2" s="62"/>
    </row>
    <row r="3" spans="1:14" x14ac:dyDescent="0.3">
      <c r="A3" s="81">
        <v>1</v>
      </c>
      <c r="B3" s="75">
        <v>1</v>
      </c>
      <c r="C3" s="49" t="s">
        <v>29</v>
      </c>
      <c r="D3" s="49" t="s">
        <v>30</v>
      </c>
      <c r="E3" s="49" t="s">
        <v>31</v>
      </c>
      <c r="F3" s="49"/>
      <c r="G3" s="126"/>
      <c r="H3" s="130" t="s">
        <v>15</v>
      </c>
      <c r="I3" s="131" t="s">
        <v>32</v>
      </c>
      <c r="K3" s="74">
        <v>120</v>
      </c>
      <c r="L3" s="85"/>
      <c r="M3" s="49"/>
      <c r="N3" s="64"/>
    </row>
    <row r="4" spans="1:14" x14ac:dyDescent="0.3">
      <c r="A4" s="81">
        <v>2</v>
      </c>
      <c r="B4" s="75">
        <v>2</v>
      </c>
      <c r="C4" s="49" t="s">
        <v>33</v>
      </c>
      <c r="D4" s="49" t="s">
        <v>34</v>
      </c>
      <c r="E4" s="49" t="s">
        <v>18</v>
      </c>
      <c r="F4" s="49"/>
      <c r="G4" s="126"/>
      <c r="H4" s="130" t="s">
        <v>35</v>
      </c>
      <c r="I4" s="131" t="s">
        <v>36</v>
      </c>
      <c r="K4" s="63"/>
      <c r="L4" s="49" t="s">
        <v>16</v>
      </c>
      <c r="M4" s="49"/>
      <c r="N4" s="64"/>
    </row>
    <row r="5" spans="1:14" x14ac:dyDescent="0.3">
      <c r="A5" s="81">
        <v>3</v>
      </c>
      <c r="B5" s="75">
        <v>3</v>
      </c>
      <c r="C5" s="49" t="s">
        <v>37</v>
      </c>
      <c r="D5" s="49" t="s">
        <v>38</v>
      </c>
      <c r="E5" s="49"/>
      <c r="F5" s="49"/>
      <c r="G5" s="126"/>
      <c r="H5" s="130" t="s">
        <v>39</v>
      </c>
      <c r="I5" s="131" t="s">
        <v>40</v>
      </c>
      <c r="K5" s="65"/>
      <c r="L5" s="86" t="s">
        <v>17</v>
      </c>
      <c r="M5" s="49"/>
      <c r="N5" s="64"/>
    </row>
    <row r="6" spans="1:14" x14ac:dyDescent="0.3">
      <c r="A6" s="81">
        <v>4</v>
      </c>
      <c r="B6" s="75">
        <v>4</v>
      </c>
      <c r="C6" s="49" t="s">
        <v>41</v>
      </c>
      <c r="D6" s="49" t="s">
        <v>41</v>
      </c>
      <c r="E6" s="49" t="s">
        <v>42</v>
      </c>
      <c r="F6" s="49"/>
      <c r="G6" s="126"/>
      <c r="H6" s="130" t="s">
        <v>43</v>
      </c>
      <c r="I6" s="131" t="s">
        <v>44</v>
      </c>
      <c r="K6" s="65"/>
      <c r="L6" s="85" t="s">
        <v>20</v>
      </c>
      <c r="M6" s="49"/>
      <c r="N6" s="64"/>
    </row>
    <row r="7" spans="1:14" x14ac:dyDescent="0.3">
      <c r="A7" s="81">
        <v>5</v>
      </c>
      <c r="B7" s="75">
        <v>5</v>
      </c>
      <c r="C7" s="49" t="s">
        <v>45</v>
      </c>
      <c r="D7" s="49" t="s">
        <v>189</v>
      </c>
      <c r="E7" s="49" t="s">
        <v>46</v>
      </c>
      <c r="F7" s="49"/>
      <c r="G7" s="126"/>
      <c r="H7" s="130" t="s">
        <v>47</v>
      </c>
      <c r="I7" s="131" t="s">
        <v>48</v>
      </c>
      <c r="K7" s="65"/>
      <c r="L7" s="87" t="s">
        <v>49</v>
      </c>
      <c r="M7" s="49"/>
      <c r="N7" s="64"/>
    </row>
    <row r="8" spans="1:14" x14ac:dyDescent="0.3">
      <c r="A8" s="81">
        <v>6</v>
      </c>
      <c r="B8" s="75">
        <v>6</v>
      </c>
      <c r="C8" s="49" t="s">
        <v>50</v>
      </c>
      <c r="D8" s="49" t="s">
        <v>51</v>
      </c>
      <c r="E8" s="49" t="s">
        <v>196</v>
      </c>
      <c r="F8" s="49"/>
      <c r="G8" s="126"/>
      <c r="H8" s="130" t="s">
        <v>21</v>
      </c>
      <c r="I8" s="131" t="s">
        <v>52</v>
      </c>
      <c r="K8" s="65"/>
      <c r="L8" s="88" t="s">
        <v>53</v>
      </c>
      <c r="M8" s="49"/>
      <c r="N8" s="64"/>
    </row>
    <row r="9" spans="1:14" x14ac:dyDescent="0.3">
      <c r="A9" s="81">
        <v>7</v>
      </c>
      <c r="B9" s="75">
        <v>7</v>
      </c>
      <c r="C9" s="49" t="s">
        <v>54</v>
      </c>
      <c r="D9" s="49" t="s">
        <v>55</v>
      </c>
      <c r="E9" s="49" t="s">
        <v>46</v>
      </c>
      <c r="F9" s="49" t="s">
        <v>56</v>
      </c>
      <c r="G9" s="127" t="s">
        <v>57</v>
      </c>
      <c r="H9" s="130" t="s">
        <v>58</v>
      </c>
      <c r="I9" s="131"/>
      <c r="K9" s="65"/>
      <c r="L9" s="87" t="s">
        <v>59</v>
      </c>
      <c r="M9" s="49"/>
      <c r="N9" s="64"/>
    </row>
    <row r="10" spans="1:14" x14ac:dyDescent="0.3">
      <c r="A10" s="81">
        <v>8</v>
      </c>
      <c r="B10" s="75">
        <v>8</v>
      </c>
      <c r="C10" s="49" t="s">
        <v>60</v>
      </c>
      <c r="D10" s="49" t="s">
        <v>186</v>
      </c>
      <c r="E10" s="49" t="s">
        <v>61</v>
      </c>
      <c r="F10" s="49"/>
      <c r="G10" s="126"/>
      <c r="H10" s="130" t="s">
        <v>62</v>
      </c>
      <c r="I10" s="131"/>
      <c r="K10" s="65"/>
      <c r="L10" s="89" t="s">
        <v>17</v>
      </c>
      <c r="M10" s="49"/>
      <c r="N10" s="64"/>
    </row>
    <row r="11" spans="1:14" x14ac:dyDescent="0.3">
      <c r="A11" s="81">
        <v>9</v>
      </c>
      <c r="B11" s="75">
        <v>9</v>
      </c>
      <c r="C11" s="49" t="s">
        <v>63</v>
      </c>
      <c r="D11" s="49" t="s">
        <v>64</v>
      </c>
      <c r="E11" s="49" t="s">
        <v>65</v>
      </c>
      <c r="F11" s="49"/>
      <c r="G11" s="126"/>
      <c r="H11" s="130" t="s">
        <v>66</v>
      </c>
      <c r="I11" s="131" t="s">
        <v>67</v>
      </c>
      <c r="K11" s="65"/>
      <c r="L11" s="90" t="s">
        <v>68</v>
      </c>
      <c r="M11" s="49"/>
      <c r="N11" s="64"/>
    </row>
    <row r="12" spans="1:14" x14ac:dyDescent="0.3">
      <c r="A12" s="81">
        <v>10</v>
      </c>
      <c r="B12" s="75">
        <v>10</v>
      </c>
      <c r="C12" s="49" t="s">
        <v>69</v>
      </c>
      <c r="D12" s="49" t="s">
        <v>227</v>
      </c>
      <c r="E12" s="49" t="s">
        <v>61</v>
      </c>
      <c r="F12" s="49"/>
      <c r="G12" s="126"/>
      <c r="H12" s="130" t="s">
        <v>19</v>
      </c>
      <c r="I12" s="131" t="s">
        <v>70</v>
      </c>
      <c r="K12" s="65"/>
      <c r="L12" s="87" t="s">
        <v>71</v>
      </c>
      <c r="M12" s="49"/>
      <c r="N12" s="64"/>
    </row>
    <row r="13" spans="1:14" x14ac:dyDescent="0.3">
      <c r="A13" s="81">
        <v>11</v>
      </c>
      <c r="B13" s="75">
        <v>11</v>
      </c>
      <c r="C13" s="49" t="s">
        <v>72</v>
      </c>
      <c r="D13" s="49" t="s">
        <v>73</v>
      </c>
      <c r="E13" s="49" t="s">
        <v>61</v>
      </c>
      <c r="F13" s="49" t="s">
        <v>74</v>
      </c>
      <c r="G13" s="126"/>
      <c r="H13" s="130"/>
      <c r="I13" s="131"/>
      <c r="K13" s="65"/>
      <c r="L13" s="89" t="s">
        <v>75</v>
      </c>
      <c r="M13" s="49"/>
      <c r="N13" s="64"/>
    </row>
    <row r="14" spans="1:14" x14ac:dyDescent="0.3">
      <c r="A14" s="81">
        <v>12</v>
      </c>
      <c r="B14" s="75">
        <v>12</v>
      </c>
      <c r="C14" s="49" t="s">
        <v>76</v>
      </c>
      <c r="D14" s="49" t="s">
        <v>301</v>
      </c>
      <c r="E14" s="49" t="s">
        <v>77</v>
      </c>
      <c r="F14" s="49"/>
      <c r="G14" s="126"/>
      <c r="H14" s="130"/>
      <c r="I14" s="131"/>
      <c r="K14" s="65"/>
      <c r="L14" s="89" t="s">
        <v>78</v>
      </c>
      <c r="M14" s="49"/>
      <c r="N14" s="64"/>
    </row>
    <row r="15" spans="1:14" x14ac:dyDescent="0.3">
      <c r="A15" s="81">
        <v>13</v>
      </c>
      <c r="B15" s="75">
        <v>13</v>
      </c>
      <c r="C15" s="49" t="s">
        <v>79</v>
      </c>
      <c r="D15" s="49" t="s">
        <v>80</v>
      </c>
      <c r="E15" s="49" t="s">
        <v>81</v>
      </c>
      <c r="F15" s="49"/>
      <c r="G15" s="126"/>
      <c r="H15" s="130"/>
      <c r="I15" s="131"/>
      <c r="K15" s="65"/>
      <c r="L15" s="91" t="s">
        <v>82</v>
      </c>
      <c r="M15" s="49"/>
      <c r="N15" s="64"/>
    </row>
    <row r="16" spans="1:14" ht="16.8" thickBot="1" x14ac:dyDescent="0.35">
      <c r="A16" s="81">
        <v>14</v>
      </c>
      <c r="B16" s="75">
        <v>14</v>
      </c>
      <c r="C16" s="49" t="s">
        <v>41</v>
      </c>
      <c r="D16" s="49" t="s">
        <v>41</v>
      </c>
      <c r="E16" s="49"/>
      <c r="F16" s="49"/>
      <c r="G16" s="126"/>
      <c r="H16" s="132"/>
      <c r="I16" s="133"/>
      <c r="K16" s="65"/>
      <c r="L16" s="86" t="s">
        <v>83</v>
      </c>
      <c r="M16" s="49"/>
      <c r="N16" s="64"/>
    </row>
    <row r="17" spans="1:14" ht="16.8" thickTop="1" x14ac:dyDescent="0.3">
      <c r="A17" s="81">
        <v>15</v>
      </c>
      <c r="B17" s="75">
        <v>15</v>
      </c>
      <c r="C17" s="49" t="s">
        <v>84</v>
      </c>
      <c r="D17" s="49" t="s">
        <v>85</v>
      </c>
      <c r="E17" s="49" t="s">
        <v>86</v>
      </c>
      <c r="F17" s="49"/>
      <c r="G17" s="64"/>
      <c r="K17" s="65"/>
      <c r="L17" s="91" t="s">
        <v>71</v>
      </c>
      <c r="M17" s="49"/>
      <c r="N17" s="64"/>
    </row>
    <row r="18" spans="1:14" x14ac:dyDescent="0.3">
      <c r="A18" s="81">
        <v>16</v>
      </c>
      <c r="B18" s="75" t="s">
        <v>87</v>
      </c>
      <c r="C18" s="49" t="s">
        <v>88</v>
      </c>
      <c r="D18" s="49" t="s">
        <v>89</v>
      </c>
      <c r="E18" s="49" t="s">
        <v>61</v>
      </c>
      <c r="F18" s="49"/>
      <c r="G18" s="64"/>
      <c r="K18" s="65"/>
      <c r="L18" s="10" t="s">
        <v>219</v>
      </c>
      <c r="M18" s="49"/>
      <c r="N18" s="64"/>
    </row>
    <row r="19" spans="1:14" x14ac:dyDescent="0.3">
      <c r="A19" s="81" t="s">
        <v>248</v>
      </c>
      <c r="B19" s="75" t="s">
        <v>90</v>
      </c>
      <c r="C19" s="49"/>
      <c r="D19" s="49" t="s">
        <v>185</v>
      </c>
      <c r="E19" s="49"/>
      <c r="F19" s="49" t="s">
        <v>91</v>
      </c>
      <c r="G19" s="64"/>
      <c r="K19" s="65"/>
      <c r="L19" s="3" t="s">
        <v>225</v>
      </c>
      <c r="M19" s="49"/>
      <c r="N19" s="64"/>
    </row>
    <row r="20" spans="1:14" x14ac:dyDescent="0.3">
      <c r="A20" s="81">
        <v>17</v>
      </c>
      <c r="B20" s="75" t="s">
        <v>92</v>
      </c>
      <c r="C20" s="49" t="s">
        <v>93</v>
      </c>
      <c r="D20" s="49" t="s">
        <v>94</v>
      </c>
      <c r="E20" s="49"/>
      <c r="F20" s="49" t="s">
        <v>95</v>
      </c>
      <c r="G20" s="64"/>
      <c r="K20" s="65"/>
      <c r="L20" s="153" t="s">
        <v>224</v>
      </c>
      <c r="M20" s="49"/>
      <c r="N20" s="64"/>
    </row>
    <row r="21" spans="1:14" x14ac:dyDescent="0.3">
      <c r="A21" s="81" t="s">
        <v>249</v>
      </c>
      <c r="B21" s="75" t="s">
        <v>96</v>
      </c>
      <c r="C21" s="49"/>
      <c r="D21" s="49" t="s">
        <v>97</v>
      </c>
      <c r="E21" s="49"/>
      <c r="F21" s="49"/>
      <c r="G21" s="64"/>
      <c r="K21" s="65"/>
      <c r="L21" s="97" t="s">
        <v>220</v>
      </c>
      <c r="M21" s="49"/>
      <c r="N21" s="64"/>
    </row>
    <row r="22" spans="1:14" x14ac:dyDescent="0.3">
      <c r="A22" s="81">
        <v>18</v>
      </c>
      <c r="B22" s="75">
        <v>18</v>
      </c>
      <c r="C22" s="49" t="s">
        <v>98</v>
      </c>
      <c r="D22" s="49" t="s">
        <v>272</v>
      </c>
      <c r="E22" s="49" t="s">
        <v>258</v>
      </c>
      <c r="F22" s="49" t="s">
        <v>232</v>
      </c>
      <c r="G22" s="64" t="s">
        <v>259</v>
      </c>
      <c r="K22" s="65"/>
      <c r="L22" s="10" t="s">
        <v>226</v>
      </c>
      <c r="M22" s="49"/>
      <c r="N22" s="64"/>
    </row>
    <row r="23" spans="1:14" x14ac:dyDescent="0.3">
      <c r="A23" s="81">
        <v>19</v>
      </c>
      <c r="B23" s="75">
        <v>19</v>
      </c>
      <c r="C23" s="49" t="s">
        <v>99</v>
      </c>
      <c r="D23" s="49" t="s">
        <v>100</v>
      </c>
      <c r="E23" s="49" t="s">
        <v>245</v>
      </c>
      <c r="F23" s="49"/>
      <c r="G23" s="64"/>
      <c r="K23" s="65"/>
      <c r="L23" s="10" t="s">
        <v>221</v>
      </c>
      <c r="M23" s="49"/>
      <c r="N23" s="64"/>
    </row>
    <row r="24" spans="1:14" x14ac:dyDescent="0.3">
      <c r="A24" s="81">
        <v>20</v>
      </c>
      <c r="B24" s="75">
        <v>20</v>
      </c>
      <c r="C24" s="59" t="s">
        <v>101</v>
      </c>
      <c r="D24" s="59" t="s">
        <v>101</v>
      </c>
      <c r="E24" s="49"/>
      <c r="F24" s="49"/>
      <c r="G24" s="64"/>
      <c r="K24" s="65"/>
      <c r="L24" s="134" t="s">
        <v>223</v>
      </c>
      <c r="M24" s="49"/>
      <c r="N24" s="64"/>
    </row>
    <row r="25" spans="1:14" x14ac:dyDescent="0.3">
      <c r="A25" s="81">
        <v>120</v>
      </c>
      <c r="B25" s="75">
        <v>120</v>
      </c>
      <c r="C25" s="59" t="s">
        <v>102</v>
      </c>
      <c r="D25" s="59" t="s">
        <v>28</v>
      </c>
      <c r="E25" s="49"/>
      <c r="F25" s="49"/>
      <c r="G25" s="64"/>
      <c r="K25" s="65"/>
      <c r="L25" s="17" t="s">
        <v>222</v>
      </c>
      <c r="M25" s="49"/>
      <c r="N25" s="64"/>
    </row>
    <row r="26" spans="1:14" x14ac:dyDescent="0.3">
      <c r="A26" s="81">
        <v>21</v>
      </c>
      <c r="B26" s="75">
        <v>21</v>
      </c>
      <c r="C26" s="49" t="s">
        <v>103</v>
      </c>
      <c r="D26" s="49" t="s">
        <v>103</v>
      </c>
      <c r="E26" s="49" t="s">
        <v>104</v>
      </c>
      <c r="F26" s="49"/>
      <c r="G26" s="64"/>
      <c r="K26" s="65"/>
      <c r="L26" s="154" t="s">
        <v>228</v>
      </c>
      <c r="M26" s="49"/>
      <c r="N26" s="64"/>
    </row>
    <row r="27" spans="1:14" x14ac:dyDescent="0.3">
      <c r="A27" s="81">
        <v>22</v>
      </c>
      <c r="B27" s="75" t="s">
        <v>105</v>
      </c>
      <c r="C27" s="49" t="s">
        <v>106</v>
      </c>
      <c r="D27" s="49" t="s">
        <v>107</v>
      </c>
      <c r="E27" s="49" t="s">
        <v>81</v>
      </c>
      <c r="F27" s="49" t="s">
        <v>108</v>
      </c>
      <c r="G27" s="64"/>
      <c r="K27" s="65"/>
      <c r="M27" s="49"/>
      <c r="N27" s="64"/>
    </row>
    <row r="28" spans="1:14" x14ac:dyDescent="0.3">
      <c r="A28" s="81">
        <v>22</v>
      </c>
      <c r="B28" s="75" t="s">
        <v>109</v>
      </c>
      <c r="C28" s="49" t="s">
        <v>110</v>
      </c>
      <c r="D28" s="49" t="s">
        <v>111</v>
      </c>
      <c r="E28" s="49"/>
      <c r="F28" s="49"/>
      <c r="G28" s="64"/>
      <c r="K28" s="65"/>
      <c r="M28" s="49"/>
      <c r="N28" s="64"/>
    </row>
    <row r="29" spans="1:14" x14ac:dyDescent="0.3">
      <c r="A29" s="81">
        <v>23</v>
      </c>
      <c r="B29" s="50">
        <v>23</v>
      </c>
      <c r="C29" s="49" t="s">
        <v>60</v>
      </c>
      <c r="D29" s="49" t="s">
        <v>112</v>
      </c>
      <c r="E29" s="49" t="s">
        <v>65</v>
      </c>
      <c r="F29" s="49"/>
      <c r="G29" s="64"/>
      <c r="K29" s="65"/>
      <c r="L29" s="3"/>
      <c r="M29" s="49"/>
      <c r="N29" s="64"/>
    </row>
    <row r="30" spans="1:14" x14ac:dyDescent="0.3">
      <c r="A30" s="81">
        <v>24</v>
      </c>
      <c r="B30" s="50">
        <v>24</v>
      </c>
      <c r="C30" s="49" t="s">
        <v>41</v>
      </c>
      <c r="D30" s="49" t="s">
        <v>41</v>
      </c>
      <c r="E30" s="49"/>
      <c r="F30" s="49"/>
      <c r="G30" s="64"/>
      <c r="K30" s="65"/>
      <c r="L30" s="49"/>
      <c r="M30" s="49"/>
      <c r="N30" s="64"/>
    </row>
    <row r="31" spans="1:14" ht="16.8" thickBot="1" x14ac:dyDescent="0.35">
      <c r="A31" s="81">
        <v>25</v>
      </c>
      <c r="B31" s="50">
        <v>25</v>
      </c>
      <c r="C31" s="49" t="s">
        <v>113</v>
      </c>
      <c r="D31" s="49" t="s">
        <v>114</v>
      </c>
      <c r="E31" s="49" t="s">
        <v>115</v>
      </c>
      <c r="F31" s="49"/>
      <c r="G31" s="64"/>
      <c r="K31" s="66"/>
      <c r="L31" s="67"/>
      <c r="M31" s="67"/>
      <c r="N31" s="68"/>
    </row>
    <row r="32" spans="1:14" x14ac:dyDescent="0.3">
      <c r="A32" s="81">
        <v>26</v>
      </c>
      <c r="B32" s="50">
        <v>26</v>
      </c>
      <c r="C32" s="49" t="s">
        <v>116</v>
      </c>
      <c r="D32" s="49" t="s">
        <v>117</v>
      </c>
      <c r="E32" s="49" t="s">
        <v>61</v>
      </c>
      <c r="F32" s="49"/>
      <c r="G32" s="64" t="s">
        <v>118</v>
      </c>
    </row>
    <row r="33" spans="1:8" x14ac:dyDescent="0.3">
      <c r="A33" s="81">
        <v>27</v>
      </c>
      <c r="B33" s="50">
        <v>27</v>
      </c>
      <c r="C33" s="49" t="s">
        <v>119</v>
      </c>
      <c r="D33" s="49" t="s">
        <v>120</v>
      </c>
      <c r="E33" s="49" t="s">
        <v>65</v>
      </c>
      <c r="F33" s="49" t="s">
        <v>121</v>
      </c>
      <c r="G33" s="64"/>
      <c r="H33" t="s">
        <v>86</v>
      </c>
    </row>
    <row r="34" spans="1:8" x14ac:dyDescent="0.3">
      <c r="A34" s="81">
        <v>28</v>
      </c>
      <c r="B34" s="75" t="s">
        <v>122</v>
      </c>
      <c r="C34" s="49" t="s">
        <v>123</v>
      </c>
      <c r="D34" s="49" t="s">
        <v>124</v>
      </c>
      <c r="E34" s="49" t="s">
        <v>125</v>
      </c>
      <c r="F34" s="49"/>
      <c r="G34" s="64"/>
    </row>
    <row r="35" spans="1:8" x14ac:dyDescent="0.3">
      <c r="A35" s="81">
        <v>28</v>
      </c>
      <c r="B35" s="75" t="s">
        <v>126</v>
      </c>
      <c r="C35" s="49"/>
      <c r="D35" s="49" t="s">
        <v>127</v>
      </c>
      <c r="E35" s="49" t="s">
        <v>128</v>
      </c>
      <c r="F35" s="49" t="s">
        <v>129</v>
      </c>
      <c r="G35" s="64"/>
    </row>
    <row r="36" spans="1:8" x14ac:dyDescent="0.3">
      <c r="A36" s="81">
        <v>29</v>
      </c>
      <c r="B36" s="50">
        <v>29</v>
      </c>
      <c r="C36" s="49" t="s">
        <v>130</v>
      </c>
      <c r="D36" s="49" t="s">
        <v>131</v>
      </c>
      <c r="E36" s="49"/>
      <c r="F36" s="49"/>
      <c r="G36" s="64"/>
    </row>
    <row r="37" spans="1:8" x14ac:dyDescent="0.3">
      <c r="A37" s="81">
        <v>30</v>
      </c>
      <c r="B37" s="50">
        <v>30</v>
      </c>
      <c r="C37" s="49" t="s">
        <v>132</v>
      </c>
      <c r="D37" s="49" t="s">
        <v>133</v>
      </c>
      <c r="E37" s="49" t="s">
        <v>18</v>
      </c>
      <c r="F37" s="49"/>
      <c r="G37" s="64"/>
    </row>
    <row r="38" spans="1:8" x14ac:dyDescent="0.3">
      <c r="A38" s="81">
        <v>31</v>
      </c>
      <c r="B38" s="50">
        <v>31</v>
      </c>
      <c r="C38" s="49" t="s">
        <v>134</v>
      </c>
      <c r="D38" s="49" t="s">
        <v>135</v>
      </c>
      <c r="E38" s="49" t="s">
        <v>61</v>
      </c>
      <c r="F38" s="49"/>
      <c r="G38" s="64"/>
    </row>
    <row r="39" spans="1:8" x14ac:dyDescent="0.3">
      <c r="A39" s="81">
        <v>32</v>
      </c>
      <c r="B39" s="50">
        <v>32</v>
      </c>
      <c r="C39" s="49" t="s">
        <v>134</v>
      </c>
      <c r="D39" s="49" t="s">
        <v>136</v>
      </c>
      <c r="E39" s="49" t="s">
        <v>61</v>
      </c>
      <c r="F39" s="49"/>
      <c r="G39" s="64"/>
    </row>
    <row r="40" spans="1:8" x14ac:dyDescent="0.3">
      <c r="A40" s="81">
        <v>33</v>
      </c>
      <c r="B40" s="50">
        <v>33</v>
      </c>
      <c r="C40" s="49" t="s">
        <v>134</v>
      </c>
      <c r="D40" s="49" t="s">
        <v>137</v>
      </c>
      <c r="E40" s="49" t="s">
        <v>61</v>
      </c>
      <c r="F40" s="49"/>
      <c r="G40" s="64"/>
    </row>
    <row r="41" spans="1:8" x14ac:dyDescent="0.3">
      <c r="A41" s="81">
        <v>34</v>
      </c>
      <c r="B41" s="50">
        <v>34</v>
      </c>
      <c r="C41" s="49" t="s">
        <v>41</v>
      </c>
      <c r="D41" s="49" t="s">
        <v>41</v>
      </c>
      <c r="E41" s="49" t="s">
        <v>42</v>
      </c>
      <c r="F41" s="49"/>
      <c r="G41" s="64"/>
    </row>
    <row r="42" spans="1:8" x14ac:dyDescent="0.3">
      <c r="A42" s="81">
        <v>35</v>
      </c>
      <c r="B42" s="75" t="s">
        <v>138</v>
      </c>
      <c r="C42" s="49" t="s">
        <v>139</v>
      </c>
      <c r="D42" s="49" t="s">
        <v>140</v>
      </c>
      <c r="E42" s="49" t="s">
        <v>141</v>
      </c>
      <c r="F42" s="49"/>
      <c r="G42" s="64"/>
    </row>
    <row r="43" spans="1:8" x14ac:dyDescent="0.3">
      <c r="A43" s="81" t="s">
        <v>250</v>
      </c>
      <c r="B43" s="75" t="s">
        <v>142</v>
      </c>
      <c r="C43" s="49"/>
      <c r="D43" s="49" t="s">
        <v>143</v>
      </c>
      <c r="E43" s="49"/>
      <c r="F43" s="49"/>
      <c r="G43" s="64"/>
    </row>
    <row r="44" spans="1:8" x14ac:dyDescent="0.3">
      <c r="A44" s="81" t="s">
        <v>251</v>
      </c>
      <c r="B44" s="77" t="s">
        <v>144</v>
      </c>
      <c r="C44" s="49"/>
      <c r="D44" s="49" t="s">
        <v>145</v>
      </c>
      <c r="E44" s="49"/>
      <c r="F44" s="49"/>
      <c r="G44" s="64"/>
    </row>
    <row r="45" spans="1:8" x14ac:dyDescent="0.3">
      <c r="A45" s="81">
        <v>36</v>
      </c>
      <c r="B45" s="50">
        <v>36</v>
      </c>
      <c r="C45" s="49" t="s">
        <v>146</v>
      </c>
      <c r="D45" s="49" t="s">
        <v>147</v>
      </c>
      <c r="E45" s="49"/>
      <c r="F45" s="49"/>
      <c r="G45" s="64"/>
    </row>
    <row r="46" spans="1:8" x14ac:dyDescent="0.3">
      <c r="A46" s="81">
        <v>37</v>
      </c>
      <c r="B46" s="50">
        <v>37</v>
      </c>
      <c r="C46" s="49" t="s">
        <v>148</v>
      </c>
      <c r="D46" s="49" t="s">
        <v>149</v>
      </c>
      <c r="E46" s="49"/>
      <c r="F46" s="49"/>
      <c r="G46" s="64" t="s">
        <v>150</v>
      </c>
    </row>
    <row r="47" spans="1:8" x14ac:dyDescent="0.3">
      <c r="A47" s="81">
        <v>38</v>
      </c>
      <c r="B47" s="50">
        <v>38</v>
      </c>
      <c r="C47" s="49" t="s">
        <v>151</v>
      </c>
      <c r="D47" s="49" t="s">
        <v>152</v>
      </c>
      <c r="E47" s="49"/>
      <c r="F47" s="49"/>
      <c r="G47" s="64" t="s">
        <v>153</v>
      </c>
    </row>
    <row r="48" spans="1:8" x14ac:dyDescent="0.3">
      <c r="A48" s="81">
        <v>39</v>
      </c>
      <c r="B48" s="50">
        <v>39</v>
      </c>
      <c r="C48" s="49" t="s">
        <v>154</v>
      </c>
      <c r="D48" s="49" t="s">
        <v>155</v>
      </c>
      <c r="E48" s="49" t="s">
        <v>61</v>
      </c>
      <c r="F48" s="49"/>
      <c r="G48" s="64"/>
    </row>
    <row r="49" spans="1:7" x14ac:dyDescent="0.3">
      <c r="A49" s="81">
        <v>40</v>
      </c>
      <c r="B49" s="75" t="s">
        <v>252</v>
      </c>
      <c r="C49" s="49" t="s">
        <v>156</v>
      </c>
      <c r="D49" s="49" t="s">
        <v>194</v>
      </c>
      <c r="E49" s="49" t="s">
        <v>61</v>
      </c>
      <c r="F49" s="49"/>
      <c r="G49" s="64"/>
    </row>
    <row r="50" spans="1:7" x14ac:dyDescent="0.3">
      <c r="A50" s="81" t="s">
        <v>254</v>
      </c>
      <c r="B50" s="75" t="s">
        <v>253</v>
      </c>
      <c r="C50" s="49" t="s">
        <v>187</v>
      </c>
      <c r="D50" s="49" t="s">
        <v>188</v>
      </c>
      <c r="E50" s="49" t="s">
        <v>61</v>
      </c>
      <c r="F50" s="49"/>
      <c r="G50" s="64"/>
    </row>
    <row r="51" spans="1:7" x14ac:dyDescent="0.3">
      <c r="A51" s="81">
        <v>41</v>
      </c>
      <c r="B51" s="75" t="s">
        <v>157</v>
      </c>
      <c r="C51" s="49" t="s">
        <v>158</v>
      </c>
      <c r="D51" s="49" t="s">
        <v>190</v>
      </c>
      <c r="E51" s="49" t="s">
        <v>61</v>
      </c>
      <c r="F51" s="49"/>
      <c r="G51" s="64" t="s">
        <v>159</v>
      </c>
    </row>
    <row r="52" spans="1:7" x14ac:dyDescent="0.3">
      <c r="A52" s="81" t="s">
        <v>255</v>
      </c>
      <c r="B52" s="75" t="s">
        <v>160</v>
      </c>
      <c r="C52" s="49"/>
      <c r="D52" s="49" t="s">
        <v>191</v>
      </c>
      <c r="E52" s="49"/>
      <c r="F52" s="49"/>
      <c r="G52" s="64"/>
    </row>
    <row r="53" spans="1:7" x14ac:dyDescent="0.3">
      <c r="A53" s="81">
        <v>42</v>
      </c>
      <c r="B53" s="50">
        <v>42</v>
      </c>
      <c r="C53" s="49" t="s">
        <v>161</v>
      </c>
      <c r="D53" s="49" t="s">
        <v>162</v>
      </c>
      <c r="E53" s="49" t="s">
        <v>163</v>
      </c>
      <c r="F53" s="49"/>
      <c r="G53" s="64"/>
    </row>
    <row r="54" spans="1:7" x14ac:dyDescent="0.3">
      <c r="A54" s="81">
        <v>43</v>
      </c>
      <c r="B54" s="50">
        <v>43</v>
      </c>
      <c r="C54" s="49"/>
      <c r="D54" s="49" t="s">
        <v>164</v>
      </c>
      <c r="E54" s="49"/>
      <c r="F54" s="49"/>
      <c r="G54" s="64" t="s">
        <v>165</v>
      </c>
    </row>
    <row r="55" spans="1:7" x14ac:dyDescent="0.3">
      <c r="A55" s="81">
        <v>44</v>
      </c>
      <c r="B55" s="50">
        <v>44</v>
      </c>
      <c r="C55" s="49" t="s">
        <v>42</v>
      </c>
      <c r="D55" s="49" t="s">
        <v>41</v>
      </c>
      <c r="E55" s="49"/>
      <c r="F55" s="49"/>
      <c r="G55" s="64"/>
    </row>
    <row r="56" spans="1:7" x14ac:dyDescent="0.3">
      <c r="A56" s="81">
        <v>45</v>
      </c>
      <c r="B56" s="50">
        <v>45</v>
      </c>
      <c r="C56" s="49" t="s">
        <v>166</v>
      </c>
      <c r="D56" s="49" t="s">
        <v>167</v>
      </c>
      <c r="E56" s="49"/>
      <c r="F56" s="49"/>
      <c r="G56" s="64"/>
    </row>
    <row r="57" spans="1:7" x14ac:dyDescent="0.3">
      <c r="A57" s="81">
        <v>46</v>
      </c>
      <c r="B57" s="50">
        <v>46</v>
      </c>
      <c r="C57" s="10" t="s">
        <v>195</v>
      </c>
      <c r="D57" s="10" t="s">
        <v>192</v>
      </c>
      <c r="E57" s="49"/>
      <c r="F57" s="49"/>
      <c r="G57" s="64"/>
    </row>
    <row r="58" spans="1:7" x14ac:dyDescent="0.3">
      <c r="A58" s="81">
        <v>47</v>
      </c>
      <c r="B58" s="50">
        <v>47</v>
      </c>
      <c r="C58" s="49" t="s">
        <v>282</v>
      </c>
      <c r="D58" s="28" t="s">
        <v>283</v>
      </c>
      <c r="E58" s="49" t="s">
        <v>61</v>
      </c>
      <c r="F58" s="49"/>
      <c r="G58" s="64"/>
    </row>
    <row r="59" spans="1:7" x14ac:dyDescent="0.3">
      <c r="A59" s="81">
        <v>48</v>
      </c>
      <c r="B59" s="50">
        <v>48</v>
      </c>
      <c r="C59" s="49"/>
      <c r="D59" s="49"/>
      <c r="E59" s="49"/>
      <c r="F59" s="49"/>
      <c r="G59" s="64"/>
    </row>
    <row r="60" spans="1:7" x14ac:dyDescent="0.3">
      <c r="A60" s="81">
        <v>49</v>
      </c>
      <c r="B60" s="50">
        <v>49</v>
      </c>
      <c r="C60" s="49"/>
      <c r="D60" s="49"/>
      <c r="E60" s="49"/>
      <c r="F60" s="49"/>
      <c r="G60" s="64"/>
    </row>
    <row r="61" spans="1:7" x14ac:dyDescent="0.3">
      <c r="A61" s="81">
        <v>50</v>
      </c>
      <c r="B61" s="50">
        <v>50</v>
      </c>
      <c r="C61" s="49"/>
      <c r="D61" s="49"/>
      <c r="E61" s="49"/>
      <c r="F61" s="49"/>
      <c r="G61" s="64"/>
    </row>
    <row r="62" spans="1:7" x14ac:dyDescent="0.3">
      <c r="A62" s="81">
        <v>51</v>
      </c>
      <c r="B62" s="50">
        <v>51</v>
      </c>
      <c r="C62" s="49"/>
      <c r="D62" s="49"/>
      <c r="E62" s="49"/>
      <c r="F62" s="49"/>
      <c r="G62" s="64"/>
    </row>
    <row r="63" spans="1:7" x14ac:dyDescent="0.3">
      <c r="A63" s="81">
        <v>52</v>
      </c>
      <c r="B63" s="50">
        <v>52</v>
      </c>
      <c r="C63" s="49"/>
      <c r="D63" s="49"/>
      <c r="E63" s="49"/>
      <c r="F63" s="49"/>
      <c r="G63" s="64"/>
    </row>
    <row r="64" spans="1:7" x14ac:dyDescent="0.3">
      <c r="A64" s="81">
        <v>53</v>
      </c>
      <c r="B64" s="50">
        <v>53</v>
      </c>
      <c r="C64" s="49"/>
      <c r="D64" s="49"/>
      <c r="E64" s="49"/>
      <c r="F64" s="49"/>
      <c r="G64" s="64"/>
    </row>
    <row r="65" spans="1:9" x14ac:dyDescent="0.3">
      <c r="A65" s="81">
        <v>54</v>
      </c>
      <c r="B65" s="50">
        <v>54</v>
      </c>
      <c r="C65" s="49" t="s">
        <v>42</v>
      </c>
      <c r="D65" s="49" t="s">
        <v>41</v>
      </c>
      <c r="E65" s="76">
        <v>120</v>
      </c>
      <c r="F65" s="76" t="s">
        <v>17</v>
      </c>
      <c r="G65" s="82" t="s">
        <v>168</v>
      </c>
      <c r="H65" s="47"/>
      <c r="I65" s="47"/>
    </row>
    <row r="66" spans="1:9" x14ac:dyDescent="0.3">
      <c r="A66" s="81">
        <v>55</v>
      </c>
      <c r="B66" s="50">
        <v>55</v>
      </c>
      <c r="C66" s="49"/>
      <c r="D66" s="49"/>
      <c r="E66" s="49"/>
      <c r="F66" s="49"/>
      <c r="G66" s="64"/>
    </row>
    <row r="67" spans="1:9" x14ac:dyDescent="0.3">
      <c r="A67" s="81">
        <v>56</v>
      </c>
      <c r="B67" s="50">
        <v>56</v>
      </c>
      <c r="C67" s="49"/>
      <c r="D67" s="49"/>
      <c r="E67" s="49"/>
      <c r="F67" s="49"/>
      <c r="G67" s="64"/>
    </row>
    <row r="68" spans="1:9" x14ac:dyDescent="0.3">
      <c r="A68" s="81">
        <v>57</v>
      </c>
      <c r="B68" s="50">
        <v>57</v>
      </c>
      <c r="C68" s="49"/>
      <c r="D68" s="49"/>
      <c r="E68" s="49"/>
      <c r="F68" s="49"/>
      <c r="G68" s="64"/>
    </row>
    <row r="69" spans="1:9" x14ac:dyDescent="0.3">
      <c r="A69" s="81">
        <v>58</v>
      </c>
      <c r="B69" s="50">
        <v>58</v>
      </c>
      <c r="C69" s="49"/>
      <c r="D69" s="49"/>
      <c r="E69" s="49"/>
      <c r="F69" s="49"/>
      <c r="G69" s="64"/>
    </row>
    <row r="70" spans="1:9" x14ac:dyDescent="0.3">
      <c r="A70" s="81">
        <v>59</v>
      </c>
      <c r="B70" s="50">
        <v>59</v>
      </c>
      <c r="C70" s="49"/>
      <c r="D70" s="49"/>
      <c r="E70" s="49"/>
      <c r="F70" s="49"/>
      <c r="G70" s="64"/>
    </row>
    <row r="71" spans="1:9" x14ac:dyDescent="0.3">
      <c r="A71" s="81">
        <v>60</v>
      </c>
      <c r="B71" s="50">
        <v>60</v>
      </c>
      <c r="C71" s="49"/>
      <c r="D71" s="49"/>
      <c r="E71" s="49"/>
      <c r="F71" s="49"/>
      <c r="G71" s="64"/>
    </row>
    <row r="72" spans="1:9" x14ac:dyDescent="0.3">
      <c r="A72" s="81">
        <v>61</v>
      </c>
      <c r="B72" s="50">
        <v>61</v>
      </c>
      <c r="C72" s="49"/>
      <c r="D72" s="49"/>
      <c r="E72" s="49"/>
      <c r="F72" s="49"/>
      <c r="G72" s="64"/>
    </row>
    <row r="73" spans="1:9" x14ac:dyDescent="0.3">
      <c r="A73" s="81">
        <v>62</v>
      </c>
      <c r="B73" s="50">
        <v>62</v>
      </c>
      <c r="C73" s="49"/>
      <c r="D73" s="49"/>
      <c r="E73" s="49"/>
      <c r="F73" s="49"/>
      <c r="G73" s="64"/>
    </row>
    <row r="74" spans="1:9" x14ac:dyDescent="0.3">
      <c r="A74" s="81">
        <v>63</v>
      </c>
      <c r="B74" s="50">
        <v>63</v>
      </c>
      <c r="C74" s="49"/>
      <c r="D74" s="49"/>
      <c r="E74" s="49"/>
      <c r="F74" s="49"/>
      <c r="G74" s="64"/>
    </row>
    <row r="75" spans="1:9" x14ac:dyDescent="0.3">
      <c r="A75" s="81">
        <v>64</v>
      </c>
      <c r="B75" s="50">
        <v>64</v>
      </c>
      <c r="C75" s="49" t="s">
        <v>42</v>
      </c>
      <c r="D75" s="49" t="s">
        <v>41</v>
      </c>
      <c r="E75" s="49"/>
      <c r="F75" s="49"/>
      <c r="G75" s="64"/>
    </row>
    <row r="76" spans="1:9" x14ac:dyDescent="0.3">
      <c r="A76" s="81">
        <v>65</v>
      </c>
      <c r="B76" s="50">
        <v>65</v>
      </c>
      <c r="C76" s="49"/>
      <c r="D76" s="49"/>
      <c r="E76" s="49"/>
      <c r="F76" s="49"/>
      <c r="G76" s="64"/>
    </row>
    <row r="77" spans="1:9" x14ac:dyDescent="0.3">
      <c r="A77" s="81">
        <v>66</v>
      </c>
      <c r="B77" s="50">
        <v>66</v>
      </c>
      <c r="C77" s="49"/>
      <c r="D77" s="49"/>
      <c r="E77" s="49"/>
      <c r="F77" s="49"/>
      <c r="G77" s="64"/>
    </row>
    <row r="78" spans="1:9" x14ac:dyDescent="0.3">
      <c r="A78" s="81">
        <v>67</v>
      </c>
      <c r="B78" s="50">
        <v>67</v>
      </c>
      <c r="C78" s="49"/>
      <c r="D78" s="49"/>
      <c r="E78" s="49"/>
      <c r="F78" s="49"/>
      <c r="G78" s="64"/>
    </row>
    <row r="79" spans="1:9" x14ac:dyDescent="0.3">
      <c r="A79" s="81">
        <v>68</v>
      </c>
      <c r="B79" s="50">
        <v>68</v>
      </c>
      <c r="C79" s="49"/>
      <c r="D79" s="49"/>
      <c r="E79" s="49"/>
      <c r="F79" s="49"/>
      <c r="G79" s="64"/>
    </row>
    <row r="80" spans="1:9" x14ac:dyDescent="0.3">
      <c r="A80" s="81">
        <v>69</v>
      </c>
      <c r="B80" s="50">
        <v>69</v>
      </c>
      <c r="C80" s="49"/>
      <c r="D80" s="49"/>
      <c r="E80" s="49"/>
      <c r="F80" s="49"/>
      <c r="G80" s="64"/>
    </row>
    <row r="81" spans="1:7" x14ac:dyDescent="0.3">
      <c r="A81" s="81">
        <v>70</v>
      </c>
      <c r="B81" s="50">
        <v>70</v>
      </c>
      <c r="C81" s="49"/>
      <c r="D81" s="49"/>
      <c r="E81" s="49"/>
      <c r="F81" s="49"/>
      <c r="G81" s="64"/>
    </row>
    <row r="82" spans="1:7" x14ac:dyDescent="0.3">
      <c r="A82" s="81">
        <v>71</v>
      </c>
      <c r="B82" s="50">
        <v>71</v>
      </c>
      <c r="C82" s="49"/>
      <c r="D82" s="49"/>
      <c r="E82" s="49"/>
      <c r="F82" s="49"/>
      <c r="G82" s="64"/>
    </row>
    <row r="83" spans="1:7" x14ac:dyDescent="0.3">
      <c r="A83" s="81">
        <v>72</v>
      </c>
      <c r="B83" s="50">
        <v>72</v>
      </c>
      <c r="C83" s="49"/>
      <c r="D83" s="49"/>
      <c r="E83" s="49"/>
      <c r="F83" s="49"/>
      <c r="G83" s="64"/>
    </row>
    <row r="84" spans="1:7" x14ac:dyDescent="0.3">
      <c r="A84" s="81">
        <v>73</v>
      </c>
      <c r="B84" s="50">
        <v>73</v>
      </c>
      <c r="C84" s="49"/>
      <c r="D84" s="49"/>
      <c r="E84" s="49"/>
      <c r="F84" s="49"/>
      <c r="G84" s="64"/>
    </row>
    <row r="85" spans="1:7" x14ac:dyDescent="0.3">
      <c r="A85" s="81">
        <v>74</v>
      </c>
      <c r="B85" s="50">
        <v>74</v>
      </c>
      <c r="C85" s="49"/>
      <c r="D85" s="49"/>
      <c r="E85" s="49"/>
      <c r="F85" s="49"/>
      <c r="G85" s="64"/>
    </row>
    <row r="86" spans="1:7" x14ac:dyDescent="0.3">
      <c r="A86" s="81">
        <v>75</v>
      </c>
      <c r="B86" s="50">
        <v>75</v>
      </c>
      <c r="C86" s="49"/>
      <c r="D86" s="49"/>
      <c r="E86" s="49"/>
      <c r="F86" s="49"/>
      <c r="G86" s="64"/>
    </row>
    <row r="87" spans="1:7" x14ac:dyDescent="0.3">
      <c r="A87" s="81">
        <v>76</v>
      </c>
      <c r="B87" s="50">
        <v>76</v>
      </c>
      <c r="C87" s="49"/>
      <c r="D87" s="49"/>
      <c r="E87" s="49"/>
      <c r="F87" s="49"/>
      <c r="G87" s="64"/>
    </row>
    <row r="88" spans="1:7" x14ac:dyDescent="0.3">
      <c r="A88" s="81">
        <v>77</v>
      </c>
      <c r="B88" s="50">
        <v>77</v>
      </c>
      <c r="C88" s="49"/>
      <c r="D88" s="49"/>
      <c r="E88" s="49"/>
      <c r="F88" s="49"/>
      <c r="G88" s="64"/>
    </row>
    <row r="89" spans="1:7" x14ac:dyDescent="0.3">
      <c r="A89" s="81">
        <v>78</v>
      </c>
      <c r="B89" s="50">
        <v>78</v>
      </c>
      <c r="C89" s="49"/>
      <c r="D89" s="49"/>
      <c r="E89" s="49"/>
      <c r="F89" s="49"/>
      <c r="G89" s="64"/>
    </row>
    <row r="90" spans="1:7" x14ac:dyDescent="0.3">
      <c r="A90" s="81">
        <v>79</v>
      </c>
      <c r="B90" s="50">
        <v>79</v>
      </c>
      <c r="C90" s="49"/>
      <c r="D90" s="49"/>
      <c r="E90" s="49"/>
      <c r="F90" s="49"/>
      <c r="G90" s="64"/>
    </row>
    <row r="91" spans="1:7" x14ac:dyDescent="0.3">
      <c r="A91" s="81">
        <v>80</v>
      </c>
      <c r="B91" s="50">
        <v>80</v>
      </c>
      <c r="C91" s="49"/>
      <c r="D91" s="49"/>
      <c r="E91" s="49"/>
      <c r="F91" s="49"/>
      <c r="G91" s="64"/>
    </row>
    <row r="92" spans="1:7" x14ac:dyDescent="0.3">
      <c r="A92" s="81">
        <v>81</v>
      </c>
      <c r="B92" s="50">
        <v>81</v>
      </c>
      <c r="C92" s="49"/>
      <c r="D92" s="49"/>
      <c r="E92" s="49"/>
      <c r="F92" s="49"/>
      <c r="G92" s="64"/>
    </row>
    <row r="93" spans="1:7" x14ac:dyDescent="0.3">
      <c r="A93" s="81">
        <v>82</v>
      </c>
      <c r="B93" s="50">
        <v>82</v>
      </c>
      <c r="C93" s="49"/>
      <c r="D93" s="49"/>
      <c r="E93" s="49"/>
      <c r="F93" s="49"/>
      <c r="G93" s="64"/>
    </row>
    <row r="94" spans="1:7" x14ac:dyDescent="0.3">
      <c r="A94" s="81">
        <v>83</v>
      </c>
      <c r="B94" s="50">
        <v>83</v>
      </c>
      <c r="C94" s="49"/>
      <c r="D94" s="49"/>
      <c r="E94" s="49"/>
      <c r="F94" s="49"/>
      <c r="G94" s="64"/>
    </row>
    <row r="95" spans="1:7" x14ac:dyDescent="0.3">
      <c r="A95" s="81">
        <v>84</v>
      </c>
      <c r="B95" s="50">
        <v>84</v>
      </c>
      <c r="C95" s="49"/>
      <c r="D95" s="49"/>
      <c r="E95" s="49"/>
      <c r="F95" s="49"/>
      <c r="G95" s="64"/>
    </row>
    <row r="96" spans="1:7" x14ac:dyDescent="0.3">
      <c r="A96" s="81">
        <v>85</v>
      </c>
      <c r="B96" s="50">
        <v>85</v>
      </c>
      <c r="C96" s="49"/>
      <c r="D96" s="49"/>
      <c r="E96" s="49"/>
      <c r="F96" s="49"/>
      <c r="G96" s="64"/>
    </row>
    <row r="97" spans="1:7" x14ac:dyDescent="0.3">
      <c r="A97" s="81">
        <v>86</v>
      </c>
      <c r="B97" s="50">
        <v>86</v>
      </c>
      <c r="C97" s="49"/>
      <c r="D97" s="49"/>
      <c r="E97" s="49"/>
      <c r="F97" s="49"/>
      <c r="G97" s="64"/>
    </row>
    <row r="98" spans="1:7" x14ac:dyDescent="0.3">
      <c r="A98" s="81">
        <v>87</v>
      </c>
      <c r="B98" s="50">
        <v>87</v>
      </c>
      <c r="C98" s="49"/>
      <c r="D98" s="49"/>
      <c r="E98" s="49"/>
      <c r="F98" s="49"/>
      <c r="G98" s="64"/>
    </row>
    <row r="99" spans="1:7" x14ac:dyDescent="0.3">
      <c r="A99" s="81">
        <v>88</v>
      </c>
      <c r="B99" s="50">
        <v>88</v>
      </c>
      <c r="C99" s="49"/>
      <c r="D99" s="49"/>
      <c r="E99" s="49"/>
      <c r="F99" s="49"/>
      <c r="G99" s="64"/>
    </row>
    <row r="100" spans="1:7" x14ac:dyDescent="0.3">
      <c r="A100" s="81">
        <v>89</v>
      </c>
      <c r="B100" s="50">
        <v>89</v>
      </c>
      <c r="C100" s="49"/>
      <c r="D100" s="49"/>
      <c r="E100" s="49"/>
      <c r="F100" s="49"/>
      <c r="G100" s="64"/>
    </row>
    <row r="101" spans="1:7" x14ac:dyDescent="0.3">
      <c r="A101" s="81">
        <v>90</v>
      </c>
      <c r="B101" s="50">
        <v>90</v>
      </c>
      <c r="C101" s="49"/>
      <c r="D101" s="49"/>
      <c r="E101" s="49"/>
      <c r="F101" s="49"/>
      <c r="G101" s="64"/>
    </row>
    <row r="102" spans="1:7" x14ac:dyDescent="0.3">
      <c r="A102" s="81">
        <v>91</v>
      </c>
      <c r="B102" s="50">
        <v>91</v>
      </c>
      <c r="C102" s="49"/>
      <c r="D102" s="49"/>
      <c r="E102" s="49"/>
      <c r="F102" s="49"/>
      <c r="G102" s="64"/>
    </row>
    <row r="103" spans="1:7" x14ac:dyDescent="0.3">
      <c r="A103" s="81">
        <v>92</v>
      </c>
      <c r="B103" s="50">
        <v>92</v>
      </c>
      <c r="C103" s="49"/>
      <c r="D103" s="49"/>
      <c r="E103" s="49"/>
      <c r="F103" s="49"/>
      <c r="G103" s="64"/>
    </row>
    <row r="104" spans="1:7" x14ac:dyDescent="0.3">
      <c r="A104" s="81">
        <v>93</v>
      </c>
      <c r="B104" s="50">
        <v>93</v>
      </c>
      <c r="C104" s="49"/>
      <c r="D104" s="49"/>
      <c r="E104" s="49"/>
      <c r="F104" s="49"/>
      <c r="G104" s="64"/>
    </row>
    <row r="105" spans="1:7" x14ac:dyDescent="0.3">
      <c r="A105" s="81">
        <v>94</v>
      </c>
      <c r="B105" s="50">
        <v>94</v>
      </c>
      <c r="C105" s="49"/>
      <c r="D105" s="49"/>
      <c r="E105" s="49"/>
      <c r="F105" s="49"/>
      <c r="G105" s="64"/>
    </row>
    <row r="106" spans="1:7" x14ac:dyDescent="0.3">
      <c r="A106" s="81">
        <v>95</v>
      </c>
      <c r="B106" s="50">
        <v>95</v>
      </c>
      <c r="C106" s="49"/>
      <c r="D106" s="49"/>
      <c r="E106" s="49"/>
      <c r="F106" s="49"/>
      <c r="G106" s="64"/>
    </row>
    <row r="107" spans="1:7" x14ac:dyDescent="0.3">
      <c r="A107" s="81">
        <v>96</v>
      </c>
      <c r="B107" s="50">
        <v>96</v>
      </c>
      <c r="C107" s="49"/>
      <c r="D107" s="49"/>
      <c r="E107" s="49"/>
      <c r="F107" s="49"/>
      <c r="G107" s="64"/>
    </row>
    <row r="108" spans="1:7" x14ac:dyDescent="0.3">
      <c r="A108" s="81">
        <v>97</v>
      </c>
      <c r="B108" s="50">
        <v>97</v>
      </c>
      <c r="C108" s="49"/>
      <c r="D108" s="49"/>
      <c r="E108" s="49"/>
      <c r="F108" s="49"/>
      <c r="G108" s="64"/>
    </row>
    <row r="109" spans="1:7" x14ac:dyDescent="0.3">
      <c r="A109" s="81">
        <v>98</v>
      </c>
      <c r="B109" s="50">
        <v>98</v>
      </c>
      <c r="C109" s="49"/>
      <c r="D109" s="49"/>
      <c r="E109" s="49"/>
      <c r="F109" s="49"/>
      <c r="G109" s="64"/>
    </row>
    <row r="110" spans="1:7" x14ac:dyDescent="0.3">
      <c r="A110" s="81">
        <v>99</v>
      </c>
      <c r="B110" s="50">
        <v>99</v>
      </c>
      <c r="C110" s="49"/>
      <c r="D110" s="49"/>
      <c r="E110" s="49"/>
      <c r="F110" s="49"/>
      <c r="G110" s="64"/>
    </row>
    <row r="111" spans="1:7" x14ac:dyDescent="0.3">
      <c r="A111" s="81">
        <v>100</v>
      </c>
      <c r="B111" s="50">
        <v>100</v>
      </c>
      <c r="C111" s="49"/>
      <c r="D111" s="49"/>
      <c r="E111" s="49"/>
      <c r="F111" s="49"/>
      <c r="G111" s="64"/>
    </row>
    <row r="112" spans="1:7" x14ac:dyDescent="0.3">
      <c r="A112" s="81">
        <v>101</v>
      </c>
      <c r="B112" s="50">
        <v>101</v>
      </c>
      <c r="C112" s="49"/>
      <c r="D112" s="49"/>
      <c r="E112" s="49"/>
      <c r="F112" s="49"/>
      <c r="G112" s="64"/>
    </row>
    <row r="113" spans="1:7" x14ac:dyDescent="0.3">
      <c r="A113" s="81">
        <v>102</v>
      </c>
      <c r="B113" s="50">
        <v>102</v>
      </c>
      <c r="C113" s="49"/>
      <c r="D113" s="49"/>
      <c r="E113" s="49"/>
      <c r="F113" s="49"/>
      <c r="G113" s="64"/>
    </row>
    <row r="114" spans="1:7" x14ac:dyDescent="0.3">
      <c r="A114" s="81">
        <v>103</v>
      </c>
      <c r="B114" s="50">
        <v>103</v>
      </c>
      <c r="C114" s="49"/>
      <c r="D114" s="49"/>
      <c r="E114" s="49"/>
      <c r="F114" s="49"/>
      <c r="G114" s="64"/>
    </row>
    <row r="115" spans="1:7" x14ac:dyDescent="0.3">
      <c r="A115" s="81">
        <v>104</v>
      </c>
      <c r="B115" s="50">
        <v>104</v>
      </c>
      <c r="C115" s="49" t="s">
        <v>42</v>
      </c>
      <c r="D115" s="49" t="s">
        <v>41</v>
      </c>
      <c r="E115" s="49"/>
      <c r="F115" s="49"/>
      <c r="G115" s="64"/>
    </row>
    <row r="116" spans="1:7" x14ac:dyDescent="0.3">
      <c r="A116" s="81">
        <v>105</v>
      </c>
      <c r="B116" s="50">
        <v>105</v>
      </c>
      <c r="C116" s="49"/>
      <c r="D116" s="49"/>
      <c r="E116" s="49"/>
      <c r="F116" s="49"/>
      <c r="G116" s="64"/>
    </row>
    <row r="117" spans="1:7" x14ac:dyDescent="0.3">
      <c r="A117" s="81">
        <v>106</v>
      </c>
      <c r="B117" s="50">
        <v>106</v>
      </c>
      <c r="C117" s="49"/>
      <c r="D117" s="49"/>
      <c r="E117" s="49"/>
      <c r="F117" s="49"/>
      <c r="G117" s="64"/>
    </row>
    <row r="118" spans="1:7" x14ac:dyDescent="0.3">
      <c r="A118" s="81">
        <v>107</v>
      </c>
      <c r="B118" s="50">
        <v>107</v>
      </c>
      <c r="C118" s="49"/>
      <c r="D118" s="49"/>
      <c r="E118" s="49"/>
      <c r="F118" s="49"/>
      <c r="G118" s="64"/>
    </row>
    <row r="119" spans="1:7" x14ac:dyDescent="0.3">
      <c r="A119" s="81">
        <v>108</v>
      </c>
      <c r="B119" s="50">
        <v>108</v>
      </c>
      <c r="C119" s="49"/>
      <c r="D119" s="49"/>
      <c r="E119" s="49"/>
      <c r="F119" s="49"/>
      <c r="G119" s="64"/>
    </row>
    <row r="120" spans="1:7" x14ac:dyDescent="0.3">
      <c r="A120" s="81">
        <v>109</v>
      </c>
      <c r="B120" s="50">
        <v>109</v>
      </c>
      <c r="C120" s="49"/>
      <c r="D120" s="49"/>
      <c r="E120" s="49"/>
      <c r="F120" s="49"/>
      <c r="G120" s="64"/>
    </row>
    <row r="121" spans="1:7" x14ac:dyDescent="0.3">
      <c r="A121" s="81">
        <v>110</v>
      </c>
      <c r="B121" s="50">
        <v>110</v>
      </c>
      <c r="C121" s="49"/>
      <c r="D121" s="49"/>
      <c r="E121" s="49"/>
      <c r="F121" s="49"/>
      <c r="G121" s="64"/>
    </row>
    <row r="122" spans="1:7" x14ac:dyDescent="0.3">
      <c r="A122" s="81">
        <v>111</v>
      </c>
      <c r="B122" s="50">
        <v>111</v>
      </c>
      <c r="C122" s="49"/>
      <c r="D122" s="49"/>
      <c r="E122" s="49"/>
      <c r="F122" s="49"/>
      <c r="G122" s="64"/>
    </row>
    <row r="123" spans="1:7" x14ac:dyDescent="0.3">
      <c r="A123" s="81">
        <v>112</v>
      </c>
      <c r="B123" s="50">
        <v>112</v>
      </c>
      <c r="C123" s="49"/>
      <c r="D123" s="49"/>
      <c r="E123" s="49"/>
      <c r="F123" s="49"/>
      <c r="G123" s="64"/>
    </row>
    <row r="124" spans="1:7" x14ac:dyDescent="0.3">
      <c r="A124" s="81">
        <v>113</v>
      </c>
      <c r="B124" s="50">
        <v>113</v>
      </c>
      <c r="C124" s="49"/>
      <c r="D124" s="49"/>
      <c r="E124" s="49"/>
      <c r="F124" s="49"/>
      <c r="G124" s="64"/>
    </row>
    <row r="125" spans="1:7" x14ac:dyDescent="0.3">
      <c r="A125" s="81">
        <v>114</v>
      </c>
      <c r="B125" s="50">
        <v>114</v>
      </c>
      <c r="C125" s="49"/>
      <c r="D125" s="49"/>
      <c r="E125" s="49"/>
      <c r="F125" s="49"/>
      <c r="G125" s="64"/>
    </row>
    <row r="126" spans="1:7" x14ac:dyDescent="0.3">
      <c r="A126" s="81">
        <v>115</v>
      </c>
      <c r="B126" s="50">
        <v>115</v>
      </c>
      <c r="C126" s="49"/>
      <c r="D126" s="49"/>
      <c r="E126" s="49"/>
      <c r="F126" s="49"/>
      <c r="G126" s="64"/>
    </row>
    <row r="127" spans="1:7" x14ac:dyDescent="0.3">
      <c r="A127" s="81">
        <v>116</v>
      </c>
      <c r="B127" s="50">
        <v>116</v>
      </c>
      <c r="C127" s="49"/>
      <c r="D127" s="49"/>
      <c r="E127" s="49"/>
      <c r="F127" s="49"/>
      <c r="G127" s="64"/>
    </row>
    <row r="128" spans="1:7" x14ac:dyDescent="0.3">
      <c r="A128" s="81">
        <v>117</v>
      </c>
      <c r="B128" s="50">
        <v>117</v>
      </c>
      <c r="C128" s="49"/>
      <c r="D128" s="49"/>
      <c r="E128" s="49"/>
      <c r="F128" s="49"/>
      <c r="G128" s="64"/>
    </row>
    <row r="129" spans="1:7" x14ac:dyDescent="0.3">
      <c r="A129" s="81">
        <v>118</v>
      </c>
      <c r="B129" s="50">
        <v>118</v>
      </c>
      <c r="C129" s="49"/>
      <c r="D129" s="49"/>
      <c r="E129" s="49"/>
      <c r="F129" s="49"/>
      <c r="G129" s="64"/>
    </row>
    <row r="130" spans="1:7" x14ac:dyDescent="0.3">
      <c r="A130" s="81">
        <v>119</v>
      </c>
      <c r="B130" s="50">
        <v>119</v>
      </c>
      <c r="C130" s="49"/>
      <c r="D130" s="49"/>
      <c r="E130" s="49"/>
      <c r="F130" s="49"/>
      <c r="G130" s="64"/>
    </row>
    <row r="131" spans="1:7" ht="16.8" thickBot="1" x14ac:dyDescent="0.35">
      <c r="A131" s="83">
        <v>121</v>
      </c>
      <c r="B131" s="84">
        <v>121</v>
      </c>
      <c r="C131" s="67"/>
      <c r="D131" s="67"/>
      <c r="E131" s="67"/>
      <c r="F131" s="67"/>
      <c r="G131" s="68"/>
    </row>
    <row r="132" spans="1:7" x14ac:dyDescent="0.3">
      <c r="A132" s="58"/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O48"/>
  <sheetViews>
    <sheetView zoomScale="70" zoomScaleNormal="70" workbookViewId="0">
      <selection activeCell="C37" sqref="C37"/>
    </sheetView>
  </sheetViews>
  <sheetFormatPr defaultRowHeight="16.2" x14ac:dyDescent="0.3"/>
  <cols>
    <col min="3" max="3" width="19.44140625" customWidth="1"/>
    <col min="4" max="4" width="39.44140625" customWidth="1"/>
    <col min="5" max="10" width="12.44140625" customWidth="1"/>
    <col min="11" max="12" width="13.88671875" customWidth="1"/>
    <col min="13" max="15" width="12.44140625" customWidth="1"/>
    <col min="16" max="16" width="13.88671875" customWidth="1"/>
    <col min="17" max="17" width="12.6640625" customWidth="1"/>
    <col min="18" max="18" width="14.88671875" customWidth="1"/>
  </cols>
  <sheetData>
    <row r="1" spans="3:15" ht="16.8" thickBot="1" x14ac:dyDescent="0.35">
      <c r="C1" t="s">
        <v>216</v>
      </c>
    </row>
    <row r="2" spans="3:15" ht="16.8" thickBot="1" x14ac:dyDescent="0.35">
      <c r="C2" s="53" t="s">
        <v>169</v>
      </c>
      <c r="D2" s="52"/>
      <c r="E2" s="94" t="s">
        <v>2</v>
      </c>
      <c r="F2" s="95"/>
      <c r="G2" s="51"/>
      <c r="H2" s="51"/>
      <c r="I2" s="51"/>
      <c r="J2" s="51"/>
      <c r="K2" s="51"/>
      <c r="L2" s="51"/>
      <c r="M2" s="51"/>
      <c r="N2" s="51"/>
      <c r="O2" s="51"/>
    </row>
    <row r="3" spans="3:15" x14ac:dyDescent="0.3">
      <c r="C3" s="48" t="s">
        <v>170</v>
      </c>
      <c r="D3" s="49"/>
      <c r="E3" s="48" t="s">
        <v>171</v>
      </c>
      <c r="F3" s="49"/>
      <c r="G3" s="49"/>
      <c r="H3" s="49"/>
      <c r="I3" s="49"/>
      <c r="J3" s="49"/>
      <c r="K3" s="49"/>
    </row>
    <row r="4" spans="3:15" x14ac:dyDescent="0.3">
      <c r="C4" s="48" t="s">
        <v>172</v>
      </c>
      <c r="D4" s="48" t="s">
        <v>173</v>
      </c>
      <c r="E4" s="49">
        <v>1</v>
      </c>
      <c r="F4" s="49">
        <v>2</v>
      </c>
      <c r="G4" s="49">
        <v>3</v>
      </c>
      <c r="H4" s="49">
        <v>4</v>
      </c>
      <c r="I4" s="49">
        <v>5</v>
      </c>
      <c r="J4" s="49">
        <v>6</v>
      </c>
      <c r="K4" s="49" t="s">
        <v>174</v>
      </c>
    </row>
    <row r="5" spans="3:15" x14ac:dyDescent="0.3">
      <c r="C5" s="50">
        <v>2</v>
      </c>
      <c r="D5" s="50" t="s">
        <v>276</v>
      </c>
      <c r="E5" s="54"/>
      <c r="F5" s="54"/>
      <c r="G5" s="54">
        <v>600</v>
      </c>
      <c r="H5" s="54"/>
      <c r="I5" s="54"/>
      <c r="J5" s="54">
        <v>300</v>
      </c>
      <c r="K5" s="54">
        <v>900</v>
      </c>
    </row>
    <row r="6" spans="3:15" x14ac:dyDescent="0.3">
      <c r="C6" s="50">
        <v>6</v>
      </c>
      <c r="D6" s="50" t="s">
        <v>294</v>
      </c>
      <c r="E6" s="54"/>
      <c r="F6" s="54"/>
      <c r="G6" s="54"/>
      <c r="H6" s="54">
        <v>3000</v>
      </c>
      <c r="I6" s="54"/>
      <c r="J6" s="54"/>
      <c r="K6" s="54">
        <v>3000</v>
      </c>
    </row>
    <row r="7" spans="3:15" x14ac:dyDescent="0.3">
      <c r="C7" s="50">
        <v>7</v>
      </c>
      <c r="D7" s="50" t="s">
        <v>277</v>
      </c>
      <c r="E7" s="54"/>
      <c r="F7" s="54"/>
      <c r="G7" s="54">
        <v>1000</v>
      </c>
      <c r="H7" s="54"/>
      <c r="I7" s="54"/>
      <c r="J7" s="54">
        <v>1000</v>
      </c>
      <c r="K7" s="54">
        <v>2000</v>
      </c>
    </row>
    <row r="8" spans="3:15" x14ac:dyDescent="0.3">
      <c r="C8" s="50">
        <v>8</v>
      </c>
      <c r="D8" s="50" t="s">
        <v>186</v>
      </c>
      <c r="E8" s="54">
        <v>400</v>
      </c>
      <c r="F8" s="54">
        <v>600</v>
      </c>
      <c r="G8" s="54">
        <v>1000</v>
      </c>
      <c r="H8" s="54">
        <v>800</v>
      </c>
      <c r="I8" s="54">
        <v>1000</v>
      </c>
      <c r="J8" s="54">
        <v>400</v>
      </c>
      <c r="K8" s="54">
        <v>4200</v>
      </c>
    </row>
    <row r="9" spans="3:15" x14ac:dyDescent="0.3">
      <c r="C9" s="50">
        <v>9</v>
      </c>
      <c r="D9" s="50" t="s">
        <v>236</v>
      </c>
      <c r="E9" s="54">
        <v>40</v>
      </c>
      <c r="F9" s="54">
        <v>40</v>
      </c>
      <c r="G9" s="54">
        <v>60</v>
      </c>
      <c r="H9" s="54">
        <v>60</v>
      </c>
      <c r="I9" s="54">
        <v>40</v>
      </c>
      <c r="J9" s="54">
        <v>60</v>
      </c>
      <c r="K9" s="54">
        <v>300</v>
      </c>
    </row>
    <row r="10" spans="3:15" x14ac:dyDescent="0.3">
      <c r="C10" s="50">
        <v>10</v>
      </c>
      <c r="D10" s="50" t="s">
        <v>237</v>
      </c>
      <c r="E10" s="54">
        <v>100</v>
      </c>
      <c r="F10" s="54">
        <v>100</v>
      </c>
      <c r="G10" s="54"/>
      <c r="H10" s="54">
        <v>100</v>
      </c>
      <c r="I10" s="54">
        <v>50</v>
      </c>
      <c r="J10" s="54">
        <v>100</v>
      </c>
      <c r="K10" s="54">
        <v>450</v>
      </c>
    </row>
    <row r="11" spans="3:15" x14ac:dyDescent="0.3">
      <c r="C11" s="50">
        <v>11</v>
      </c>
      <c r="D11" s="50" t="s">
        <v>238</v>
      </c>
      <c r="E11" s="54">
        <v>300</v>
      </c>
      <c r="F11" s="54">
        <v>300</v>
      </c>
      <c r="G11" s="54">
        <v>300</v>
      </c>
      <c r="H11" s="54">
        <v>100</v>
      </c>
      <c r="I11" s="54">
        <v>200</v>
      </c>
      <c r="J11" s="54">
        <v>300</v>
      </c>
      <c r="K11" s="54">
        <v>1500</v>
      </c>
    </row>
    <row r="12" spans="3:15" x14ac:dyDescent="0.3">
      <c r="C12" s="50">
        <v>12</v>
      </c>
      <c r="D12" s="50" t="s">
        <v>307</v>
      </c>
      <c r="E12" s="54"/>
      <c r="F12" s="54">
        <v>100</v>
      </c>
      <c r="G12" s="54">
        <v>100</v>
      </c>
      <c r="H12" s="54">
        <v>100</v>
      </c>
      <c r="I12" s="54">
        <v>100</v>
      </c>
      <c r="J12" s="54">
        <v>200</v>
      </c>
      <c r="K12" s="54">
        <v>600</v>
      </c>
    </row>
    <row r="13" spans="3:15" x14ac:dyDescent="0.3">
      <c r="C13" s="50">
        <v>13</v>
      </c>
      <c r="D13" s="50" t="s">
        <v>239</v>
      </c>
      <c r="E13" s="54">
        <v>100</v>
      </c>
      <c r="F13" s="54">
        <v>100</v>
      </c>
      <c r="G13" s="54">
        <v>400</v>
      </c>
      <c r="H13" s="54">
        <v>200</v>
      </c>
      <c r="I13" s="54">
        <v>200</v>
      </c>
      <c r="J13" s="54">
        <v>400</v>
      </c>
      <c r="K13" s="54">
        <v>1400</v>
      </c>
    </row>
    <row r="14" spans="3:15" x14ac:dyDescent="0.3">
      <c r="C14" s="50">
        <v>17</v>
      </c>
      <c r="D14" s="50" t="s">
        <v>240</v>
      </c>
      <c r="E14" s="54">
        <v>272</v>
      </c>
      <c r="F14" s="54"/>
      <c r="G14" s="54"/>
      <c r="H14" s="54"/>
      <c r="I14" s="54"/>
      <c r="J14" s="54"/>
      <c r="K14" s="54">
        <v>272</v>
      </c>
    </row>
    <row r="15" spans="3:15" x14ac:dyDescent="0.3">
      <c r="C15" s="50">
        <v>18</v>
      </c>
      <c r="D15" s="50" t="s">
        <v>275</v>
      </c>
      <c r="E15" s="54">
        <v>600</v>
      </c>
      <c r="F15" s="54">
        <v>700</v>
      </c>
      <c r="G15" s="54">
        <v>800</v>
      </c>
      <c r="H15" s="54">
        <v>600</v>
      </c>
      <c r="I15" s="54">
        <v>700</v>
      </c>
      <c r="J15" s="54">
        <v>700</v>
      </c>
      <c r="K15" s="54">
        <v>4100</v>
      </c>
    </row>
    <row r="16" spans="3:15" x14ac:dyDescent="0.3">
      <c r="C16" s="50">
        <v>19</v>
      </c>
      <c r="D16" s="50" t="s">
        <v>308</v>
      </c>
      <c r="E16" s="54"/>
      <c r="F16" s="54"/>
      <c r="G16" s="54"/>
      <c r="H16" s="54"/>
      <c r="I16" s="54"/>
      <c r="J16" s="54">
        <v>1000</v>
      </c>
      <c r="K16" s="54">
        <v>1000</v>
      </c>
    </row>
    <row r="17" spans="3:11" x14ac:dyDescent="0.3">
      <c r="C17" s="50">
        <v>20</v>
      </c>
      <c r="D17" s="50" t="s">
        <v>241</v>
      </c>
      <c r="E17" s="54">
        <v>2538.0700000000002</v>
      </c>
      <c r="F17" s="54">
        <v>588</v>
      </c>
      <c r="G17" s="54">
        <v>240</v>
      </c>
      <c r="H17" s="54">
        <v>163</v>
      </c>
      <c r="I17" s="54">
        <v>301</v>
      </c>
      <c r="J17" s="54">
        <v>79.8</v>
      </c>
      <c r="K17" s="54">
        <v>3909.8700000000003</v>
      </c>
    </row>
    <row r="18" spans="3:11" x14ac:dyDescent="0.3">
      <c r="C18" s="50">
        <v>25</v>
      </c>
      <c r="D18" s="50" t="s">
        <v>278</v>
      </c>
      <c r="E18" s="54"/>
      <c r="F18" s="54"/>
      <c r="G18" s="54">
        <v>200</v>
      </c>
      <c r="H18" s="54"/>
      <c r="I18" s="54"/>
      <c r="J18" s="54">
        <v>100</v>
      </c>
      <c r="K18" s="54">
        <v>300</v>
      </c>
    </row>
    <row r="19" spans="3:11" x14ac:dyDescent="0.3">
      <c r="C19" s="50">
        <v>26</v>
      </c>
      <c r="D19" s="50" t="s">
        <v>309</v>
      </c>
      <c r="E19" s="54"/>
      <c r="F19" s="54"/>
      <c r="G19" s="54"/>
      <c r="H19" s="54"/>
      <c r="I19" s="54">
        <v>100</v>
      </c>
      <c r="J19" s="54">
        <v>500</v>
      </c>
      <c r="K19" s="54">
        <v>600</v>
      </c>
    </row>
    <row r="20" spans="3:11" x14ac:dyDescent="0.3">
      <c r="C20" s="50">
        <v>27</v>
      </c>
      <c r="D20" s="50" t="s">
        <v>242</v>
      </c>
      <c r="E20" s="54">
        <v>50</v>
      </c>
      <c r="F20" s="54"/>
      <c r="G20" s="54"/>
      <c r="H20" s="54"/>
      <c r="I20" s="54">
        <v>100</v>
      </c>
      <c r="J20" s="54"/>
      <c r="K20" s="54">
        <v>150</v>
      </c>
    </row>
    <row r="21" spans="3:11" x14ac:dyDescent="0.3">
      <c r="C21" s="50">
        <v>40</v>
      </c>
      <c r="D21" s="50" t="s">
        <v>279</v>
      </c>
      <c r="E21" s="54"/>
      <c r="F21" s="54"/>
      <c r="G21" s="54">
        <v>100</v>
      </c>
      <c r="H21" s="54">
        <v>100</v>
      </c>
      <c r="I21" s="54">
        <v>100</v>
      </c>
      <c r="J21" s="54"/>
      <c r="K21" s="54">
        <v>300</v>
      </c>
    </row>
    <row r="22" spans="3:11" x14ac:dyDescent="0.3">
      <c r="C22" s="50">
        <v>41</v>
      </c>
      <c r="D22" s="50" t="s">
        <v>190</v>
      </c>
      <c r="E22" s="54">
        <v>400</v>
      </c>
      <c r="F22" s="54">
        <v>400</v>
      </c>
      <c r="G22" s="54">
        <v>200</v>
      </c>
      <c r="H22" s="54"/>
      <c r="I22" s="54">
        <v>500</v>
      </c>
      <c r="J22" s="54">
        <v>300</v>
      </c>
      <c r="K22" s="54">
        <v>1800</v>
      </c>
    </row>
    <row r="23" spans="3:11" x14ac:dyDescent="0.3">
      <c r="C23" s="50">
        <v>42</v>
      </c>
      <c r="D23" s="50" t="s">
        <v>290</v>
      </c>
      <c r="E23" s="54"/>
      <c r="F23" s="54"/>
      <c r="G23" s="54"/>
      <c r="H23" s="54">
        <v>100</v>
      </c>
      <c r="I23" s="54"/>
      <c r="J23" s="54"/>
      <c r="K23" s="54">
        <v>100</v>
      </c>
    </row>
    <row r="24" spans="3:11" x14ac:dyDescent="0.3">
      <c r="C24" s="50">
        <v>45</v>
      </c>
      <c r="D24" s="50" t="s">
        <v>243</v>
      </c>
      <c r="E24" s="54">
        <v>30</v>
      </c>
      <c r="F24" s="54"/>
      <c r="G24" s="54">
        <v>9</v>
      </c>
      <c r="H24" s="54"/>
      <c r="I24" s="54">
        <v>9</v>
      </c>
      <c r="J24" s="54"/>
      <c r="K24" s="54">
        <v>48</v>
      </c>
    </row>
    <row r="25" spans="3:11" x14ac:dyDescent="0.3">
      <c r="C25" s="50">
        <v>46</v>
      </c>
      <c r="D25" s="50" t="s">
        <v>280</v>
      </c>
      <c r="E25" s="54"/>
      <c r="F25" s="54"/>
      <c r="G25" s="54">
        <v>200</v>
      </c>
      <c r="H25" s="54"/>
      <c r="I25" s="54">
        <v>50</v>
      </c>
      <c r="J25" s="54">
        <v>200</v>
      </c>
      <c r="K25" s="54">
        <v>450</v>
      </c>
    </row>
    <row r="26" spans="3:11" x14ac:dyDescent="0.3">
      <c r="C26" s="50">
        <v>47</v>
      </c>
      <c r="D26" s="50" t="s">
        <v>289</v>
      </c>
      <c r="E26" s="54"/>
      <c r="F26" s="54"/>
      <c r="G26" s="54">
        <v>400</v>
      </c>
      <c r="H26" s="54">
        <v>600</v>
      </c>
      <c r="I26" s="54">
        <v>400</v>
      </c>
      <c r="J26" s="54">
        <v>400</v>
      </c>
      <c r="K26" s="54">
        <v>1800</v>
      </c>
    </row>
    <row r="27" spans="3:11" x14ac:dyDescent="0.3">
      <c r="C27" s="50">
        <v>120</v>
      </c>
      <c r="D27" s="50" t="s">
        <v>244</v>
      </c>
      <c r="E27" s="54">
        <v>100</v>
      </c>
      <c r="F27" s="54"/>
      <c r="G27" s="54"/>
      <c r="H27" s="54"/>
      <c r="I27" s="54"/>
      <c r="J27" s="54"/>
      <c r="K27" s="54">
        <v>100</v>
      </c>
    </row>
    <row r="28" spans="3:11" x14ac:dyDescent="0.3">
      <c r="C28" s="49"/>
      <c r="D28" s="50" t="s">
        <v>266</v>
      </c>
      <c r="E28" s="54"/>
      <c r="F28" s="54">
        <v>7.29</v>
      </c>
      <c r="G28" s="54"/>
      <c r="H28" s="54"/>
      <c r="I28" s="54"/>
      <c r="J28" s="54"/>
      <c r="K28" s="54">
        <v>7.29</v>
      </c>
    </row>
    <row r="29" spans="3:11" x14ac:dyDescent="0.3">
      <c r="C29" s="49"/>
      <c r="D29" s="50" t="s">
        <v>267</v>
      </c>
      <c r="E29" s="54"/>
      <c r="F29" s="54"/>
      <c r="G29" s="54">
        <v>120</v>
      </c>
      <c r="H29" s="54"/>
      <c r="I29" s="54"/>
      <c r="J29" s="54"/>
      <c r="K29" s="54">
        <v>120</v>
      </c>
    </row>
    <row r="30" spans="3:11" x14ac:dyDescent="0.3">
      <c r="C30" s="49"/>
      <c r="D30" s="50" t="s">
        <v>310</v>
      </c>
      <c r="E30" s="54"/>
      <c r="F30" s="54"/>
      <c r="G30" s="54"/>
      <c r="H30" s="54"/>
      <c r="I30" s="54">
        <v>150</v>
      </c>
      <c r="J30" s="54"/>
      <c r="K30" s="54">
        <v>150</v>
      </c>
    </row>
    <row r="31" spans="3:11" x14ac:dyDescent="0.3">
      <c r="C31" s="49"/>
      <c r="D31" s="50" t="s">
        <v>311</v>
      </c>
      <c r="E31" s="54"/>
      <c r="F31" s="54"/>
      <c r="G31" s="54"/>
      <c r="H31" s="54"/>
      <c r="I31" s="54">
        <v>1000</v>
      </c>
      <c r="J31" s="54"/>
      <c r="K31" s="54">
        <v>1000</v>
      </c>
    </row>
    <row r="32" spans="3:11" x14ac:dyDescent="0.3">
      <c r="C32" s="49"/>
      <c r="D32" s="50" t="s">
        <v>312</v>
      </c>
      <c r="E32" s="54"/>
      <c r="F32" s="54"/>
      <c r="G32" s="54"/>
      <c r="H32" s="54"/>
      <c r="I32" s="54"/>
      <c r="J32" s="54">
        <v>65</v>
      </c>
      <c r="K32" s="54">
        <v>65</v>
      </c>
    </row>
    <row r="33" spans="3:15" x14ac:dyDescent="0.3">
      <c r="C33" s="50" t="s">
        <v>268</v>
      </c>
      <c r="D33" s="50" t="s">
        <v>269</v>
      </c>
      <c r="E33" s="54"/>
      <c r="F33" s="54">
        <v>100</v>
      </c>
      <c r="G33" s="54">
        <v>200</v>
      </c>
      <c r="H33" s="54">
        <v>200</v>
      </c>
      <c r="I33" s="54">
        <v>200</v>
      </c>
      <c r="J33" s="54">
        <v>100</v>
      </c>
      <c r="K33" s="54">
        <v>800</v>
      </c>
    </row>
    <row r="34" spans="3:15" x14ac:dyDescent="0.3">
      <c r="C34" s="50" t="s">
        <v>253</v>
      </c>
      <c r="D34" s="50" t="s">
        <v>188</v>
      </c>
      <c r="E34" s="54"/>
      <c r="F34" s="54"/>
      <c r="G34" s="54">
        <v>100</v>
      </c>
      <c r="H34" s="54"/>
      <c r="I34" s="54"/>
      <c r="J34" s="54"/>
      <c r="K34" s="54">
        <v>100</v>
      </c>
    </row>
    <row r="35" spans="3:15" x14ac:dyDescent="0.3">
      <c r="C35" s="50" t="s">
        <v>174</v>
      </c>
      <c r="D35" s="49"/>
      <c r="E35" s="54">
        <v>4930.07</v>
      </c>
      <c r="F35" s="54">
        <v>3035.29</v>
      </c>
      <c r="G35" s="54">
        <v>6029</v>
      </c>
      <c r="H35" s="54">
        <v>6123</v>
      </c>
      <c r="I35" s="54">
        <v>5200</v>
      </c>
      <c r="J35" s="54">
        <v>6204.8</v>
      </c>
      <c r="K35" s="54">
        <v>31522.16</v>
      </c>
    </row>
    <row r="43" spans="3:15" x14ac:dyDescent="0.3">
      <c r="E43" s="58" t="s">
        <v>203</v>
      </c>
      <c r="F43" t="s">
        <v>198</v>
      </c>
      <c r="G43" s="58" t="s">
        <v>201</v>
      </c>
      <c r="H43" s="58" t="s">
        <v>203</v>
      </c>
      <c r="I43" t="s">
        <v>198</v>
      </c>
      <c r="J43" s="58" t="s">
        <v>201</v>
      </c>
      <c r="K43" s="58" t="s">
        <v>203</v>
      </c>
      <c r="L43" s="58" t="s">
        <v>201</v>
      </c>
      <c r="M43" s="58" t="s">
        <v>199</v>
      </c>
      <c r="N43" s="58" t="s">
        <v>199</v>
      </c>
      <c r="O43" s="58" t="s">
        <v>213</v>
      </c>
    </row>
    <row r="44" spans="3:15" x14ac:dyDescent="0.3">
      <c r="E44" t="s">
        <v>207</v>
      </c>
      <c r="G44" t="s">
        <v>206</v>
      </c>
      <c r="H44" t="s">
        <v>206</v>
      </c>
      <c r="J44" t="s">
        <v>202</v>
      </c>
      <c r="K44" t="s">
        <v>202</v>
      </c>
      <c r="L44" t="s">
        <v>204</v>
      </c>
      <c r="M44" t="s">
        <v>204</v>
      </c>
      <c r="N44" t="s">
        <v>205</v>
      </c>
      <c r="O44" t="s">
        <v>214</v>
      </c>
    </row>
    <row r="45" spans="3:15" x14ac:dyDescent="0.3">
      <c r="E45" s="58" t="s">
        <v>203</v>
      </c>
      <c r="G45" s="58" t="s">
        <v>200</v>
      </c>
      <c r="H45" s="58" t="s">
        <v>200</v>
      </c>
      <c r="J45" s="58" t="s">
        <v>200</v>
      </c>
      <c r="K45" s="58" t="s">
        <v>200</v>
      </c>
      <c r="L45" s="58" t="s">
        <v>200</v>
      </c>
      <c r="M45" s="58" t="s">
        <v>201</v>
      </c>
      <c r="N45" s="58" t="s">
        <v>211</v>
      </c>
    </row>
    <row r="46" spans="3:15" x14ac:dyDescent="0.3">
      <c r="E46" t="s">
        <v>208</v>
      </c>
      <c r="M46" t="s">
        <v>205</v>
      </c>
      <c r="N46" t="s">
        <v>212</v>
      </c>
    </row>
    <row r="47" spans="3:15" x14ac:dyDescent="0.3">
      <c r="E47" s="58" t="s">
        <v>200</v>
      </c>
      <c r="M47" s="58" t="s">
        <v>200</v>
      </c>
      <c r="N47" s="58" t="s">
        <v>210</v>
      </c>
      <c r="O47" s="58" t="s">
        <v>215</v>
      </c>
    </row>
    <row r="48" spans="3:15" x14ac:dyDescent="0.3">
      <c r="D48" t="s">
        <v>209</v>
      </c>
      <c r="E48">
        <v>15684</v>
      </c>
      <c r="G48">
        <v>3162</v>
      </c>
      <c r="H48">
        <v>4945</v>
      </c>
      <c r="J48">
        <v>3779</v>
      </c>
      <c r="K48">
        <v>3258</v>
      </c>
      <c r="L48">
        <v>9422</v>
      </c>
      <c r="M48" s="58">
        <v>3374</v>
      </c>
      <c r="N48">
        <v>10364</v>
      </c>
      <c r="O48">
        <v>4693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6"/>
  <sheetViews>
    <sheetView workbookViewId="0">
      <selection activeCell="F21" sqref="F21"/>
    </sheetView>
  </sheetViews>
  <sheetFormatPr defaultRowHeight="16.2" x14ac:dyDescent="0.3"/>
  <cols>
    <col min="2" max="2" width="18.44140625" customWidth="1"/>
    <col min="3" max="3" width="36.33203125" customWidth="1"/>
    <col min="4" max="4" width="11.5546875" customWidth="1"/>
    <col min="5" max="5" width="11" customWidth="1"/>
    <col min="6" max="6" width="11.5546875" customWidth="1"/>
    <col min="7" max="7" width="11.44140625" customWidth="1"/>
  </cols>
  <sheetData>
    <row r="1" spans="2:9" x14ac:dyDescent="0.3">
      <c r="B1" s="24" t="s">
        <v>176</v>
      </c>
      <c r="C1" s="18"/>
      <c r="D1" s="18"/>
      <c r="E1" s="18"/>
    </row>
    <row r="2" spans="2:9" x14ac:dyDescent="0.3">
      <c r="B2" s="24" t="s">
        <v>217</v>
      </c>
      <c r="C2" s="18"/>
      <c r="D2" s="18"/>
      <c r="E2" s="18"/>
    </row>
    <row r="3" spans="2:9" x14ac:dyDescent="0.3">
      <c r="B3" s="98" t="s">
        <v>177</v>
      </c>
      <c r="C3" s="120" t="s">
        <v>179</v>
      </c>
    </row>
    <row r="4" spans="2:9" x14ac:dyDescent="0.3">
      <c r="B4" s="98" t="s">
        <v>178</v>
      </c>
      <c r="C4" s="120" t="s">
        <v>179</v>
      </c>
    </row>
    <row r="5" spans="2:9" x14ac:dyDescent="0.3">
      <c r="G5" s="46" t="s">
        <v>175</v>
      </c>
      <c r="I5" t="s">
        <v>180</v>
      </c>
    </row>
    <row r="6" spans="2:9" x14ac:dyDescent="0.3">
      <c r="B6" s="100" t="s">
        <v>170</v>
      </c>
      <c r="C6" s="101"/>
      <c r="D6" s="102" t="s">
        <v>171</v>
      </c>
      <c r="E6" s="101"/>
      <c r="F6" s="103"/>
    </row>
    <row r="7" spans="2:9" x14ac:dyDescent="0.3">
      <c r="B7" s="104" t="s">
        <v>172</v>
      </c>
      <c r="C7" s="105" t="s">
        <v>173</v>
      </c>
      <c r="D7" s="108" t="s">
        <v>181</v>
      </c>
      <c r="E7" s="99" t="s">
        <v>235</v>
      </c>
      <c r="F7" s="109" t="s">
        <v>174</v>
      </c>
    </row>
    <row r="8" spans="2:9" x14ac:dyDescent="0.3">
      <c r="B8" s="167">
        <v>2</v>
      </c>
      <c r="C8" s="107" t="s">
        <v>276</v>
      </c>
      <c r="D8" s="111">
        <v>900</v>
      </c>
      <c r="E8" s="112"/>
      <c r="F8" s="113">
        <v>900</v>
      </c>
    </row>
    <row r="9" spans="2:9" x14ac:dyDescent="0.3">
      <c r="B9" s="163">
        <v>6</v>
      </c>
      <c r="C9" s="107" t="s">
        <v>294</v>
      </c>
      <c r="D9" s="164">
        <v>3000</v>
      </c>
      <c r="E9" s="165"/>
      <c r="F9" s="116">
        <v>3000</v>
      </c>
    </row>
    <row r="10" spans="2:9" x14ac:dyDescent="0.3">
      <c r="B10" s="42">
        <v>7</v>
      </c>
      <c r="C10" s="107" t="s">
        <v>277</v>
      </c>
      <c r="D10" s="114">
        <v>2000</v>
      </c>
      <c r="E10" s="115"/>
      <c r="F10" s="116">
        <v>2000</v>
      </c>
    </row>
    <row r="11" spans="2:9" x14ac:dyDescent="0.3">
      <c r="B11" s="167">
        <v>8</v>
      </c>
      <c r="C11" s="107" t="s">
        <v>186</v>
      </c>
      <c r="D11" s="114">
        <v>4200</v>
      </c>
      <c r="E11" s="115"/>
      <c r="F11" s="116">
        <v>4200</v>
      </c>
    </row>
    <row r="12" spans="2:9" x14ac:dyDescent="0.3">
      <c r="B12" s="168">
        <v>9</v>
      </c>
      <c r="C12" s="107" t="s">
        <v>236</v>
      </c>
      <c r="D12" s="114">
        <v>300</v>
      </c>
      <c r="E12" s="115"/>
      <c r="F12" s="116">
        <v>300</v>
      </c>
    </row>
    <row r="13" spans="2:9" x14ac:dyDescent="0.3">
      <c r="B13" s="168">
        <v>10</v>
      </c>
      <c r="C13" s="107" t="s">
        <v>237</v>
      </c>
      <c r="D13" s="114">
        <v>450</v>
      </c>
      <c r="E13" s="115"/>
      <c r="F13" s="116">
        <v>450</v>
      </c>
    </row>
    <row r="14" spans="2:9" x14ac:dyDescent="0.3">
      <c r="B14" s="168">
        <v>11</v>
      </c>
      <c r="C14" s="107" t="s">
        <v>238</v>
      </c>
      <c r="D14" s="114">
        <v>1500</v>
      </c>
      <c r="E14" s="115"/>
      <c r="F14" s="116">
        <v>1500</v>
      </c>
    </row>
    <row r="15" spans="2:9" x14ac:dyDescent="0.3">
      <c r="B15" s="162">
        <v>12</v>
      </c>
      <c r="C15" s="107" t="s">
        <v>307</v>
      </c>
      <c r="D15" s="114">
        <v>600</v>
      </c>
      <c r="E15" s="115"/>
      <c r="F15" s="116">
        <v>600</v>
      </c>
    </row>
    <row r="16" spans="2:9" x14ac:dyDescent="0.3">
      <c r="B16" s="169">
        <v>13</v>
      </c>
      <c r="C16" s="107" t="s">
        <v>239</v>
      </c>
      <c r="D16" s="114">
        <v>1400</v>
      </c>
      <c r="E16" s="115"/>
      <c r="F16" s="116">
        <v>1400</v>
      </c>
    </row>
    <row r="17" spans="2:6" x14ac:dyDescent="0.3">
      <c r="B17" s="121">
        <v>17</v>
      </c>
      <c r="C17" s="107" t="s">
        <v>240</v>
      </c>
      <c r="D17" s="114">
        <v>272</v>
      </c>
      <c r="E17" s="115"/>
      <c r="F17" s="116">
        <v>272</v>
      </c>
    </row>
    <row r="18" spans="2:6" x14ac:dyDescent="0.3">
      <c r="B18" s="161">
        <v>18</v>
      </c>
      <c r="C18" s="107" t="s">
        <v>275</v>
      </c>
      <c r="D18" s="114">
        <v>4100</v>
      </c>
      <c r="E18" s="115"/>
      <c r="F18" s="116">
        <v>4100</v>
      </c>
    </row>
    <row r="19" spans="2:6" x14ac:dyDescent="0.3">
      <c r="B19" s="162">
        <v>19</v>
      </c>
      <c r="C19" s="107" t="s">
        <v>308</v>
      </c>
      <c r="D19" s="114">
        <v>1000</v>
      </c>
      <c r="E19" s="115"/>
      <c r="F19" s="116">
        <v>1000</v>
      </c>
    </row>
    <row r="20" spans="2:6" x14ac:dyDescent="0.3">
      <c r="B20" s="169">
        <v>20</v>
      </c>
      <c r="C20" s="107" t="s">
        <v>241</v>
      </c>
      <c r="D20" s="164">
        <v>1909.87</v>
      </c>
      <c r="E20" s="165">
        <v>2000</v>
      </c>
      <c r="F20" s="116">
        <v>3909.87</v>
      </c>
    </row>
    <row r="21" spans="2:6" x14ac:dyDescent="0.3">
      <c r="B21" s="166">
        <v>25</v>
      </c>
      <c r="C21" s="107" t="s">
        <v>278</v>
      </c>
      <c r="D21" s="114">
        <v>300</v>
      </c>
      <c r="E21" s="115"/>
      <c r="F21" s="116">
        <v>300</v>
      </c>
    </row>
    <row r="22" spans="2:6" x14ac:dyDescent="0.3">
      <c r="B22" s="42">
        <v>26</v>
      </c>
      <c r="C22" s="107" t="s">
        <v>309</v>
      </c>
      <c r="D22" s="114">
        <v>600</v>
      </c>
      <c r="E22" s="115"/>
      <c r="F22" s="116">
        <v>600</v>
      </c>
    </row>
    <row r="23" spans="2:6" x14ac:dyDescent="0.3">
      <c r="B23" s="42">
        <v>27</v>
      </c>
      <c r="C23" s="107" t="s">
        <v>242</v>
      </c>
      <c r="D23" s="114">
        <v>150</v>
      </c>
      <c r="E23" s="115"/>
      <c r="F23" s="116">
        <v>150</v>
      </c>
    </row>
    <row r="24" spans="2:6" x14ac:dyDescent="0.3">
      <c r="B24" s="121">
        <v>40</v>
      </c>
      <c r="C24" s="107" t="s">
        <v>279</v>
      </c>
      <c r="D24" s="114">
        <v>300</v>
      </c>
      <c r="E24" s="115"/>
      <c r="F24" s="116">
        <v>300</v>
      </c>
    </row>
    <row r="25" spans="2:6" x14ac:dyDescent="0.3">
      <c r="B25" s="121">
        <v>41</v>
      </c>
      <c r="C25" s="107" t="s">
        <v>190</v>
      </c>
      <c r="D25" s="114">
        <v>1800</v>
      </c>
      <c r="E25" s="115"/>
      <c r="F25" s="116">
        <v>1800</v>
      </c>
    </row>
    <row r="26" spans="2:6" x14ac:dyDescent="0.3">
      <c r="B26" s="121">
        <v>42</v>
      </c>
      <c r="C26" s="107" t="s">
        <v>290</v>
      </c>
      <c r="D26" s="114">
        <v>100</v>
      </c>
      <c r="E26" s="115"/>
      <c r="F26" s="116">
        <v>100</v>
      </c>
    </row>
    <row r="27" spans="2:6" x14ac:dyDescent="0.3">
      <c r="B27" s="121">
        <v>45</v>
      </c>
      <c r="C27" s="107" t="s">
        <v>243</v>
      </c>
      <c r="D27" s="114">
        <v>48</v>
      </c>
      <c r="E27" s="115"/>
      <c r="F27" s="116">
        <v>48</v>
      </c>
    </row>
    <row r="28" spans="2:6" x14ac:dyDescent="0.3">
      <c r="B28" s="42">
        <v>46</v>
      </c>
      <c r="C28" s="107" t="s">
        <v>280</v>
      </c>
      <c r="D28" s="114">
        <v>450</v>
      </c>
      <c r="E28" s="115"/>
      <c r="F28" s="116">
        <v>450</v>
      </c>
    </row>
    <row r="29" spans="2:6" x14ac:dyDescent="0.3">
      <c r="B29" s="121">
        <v>47</v>
      </c>
      <c r="C29" s="107" t="s">
        <v>289</v>
      </c>
      <c r="D29" s="114">
        <v>1800</v>
      </c>
      <c r="E29" s="115"/>
      <c r="F29" s="116">
        <v>1800</v>
      </c>
    </row>
    <row r="30" spans="2:6" x14ac:dyDescent="0.3">
      <c r="B30" s="42">
        <v>120</v>
      </c>
      <c r="C30" s="107" t="s">
        <v>244</v>
      </c>
      <c r="D30" s="114">
        <v>100</v>
      </c>
      <c r="E30" s="115"/>
      <c r="F30" s="116">
        <v>100</v>
      </c>
    </row>
    <row r="31" spans="2:6" x14ac:dyDescent="0.3">
      <c r="B31" s="179"/>
      <c r="C31" s="107" t="s">
        <v>266</v>
      </c>
      <c r="D31" s="114">
        <v>7.29</v>
      </c>
      <c r="E31" s="115"/>
      <c r="F31" s="116">
        <v>7.29</v>
      </c>
    </row>
    <row r="32" spans="2:6" x14ac:dyDescent="0.3">
      <c r="B32" s="179"/>
      <c r="C32" s="107" t="s">
        <v>267</v>
      </c>
      <c r="D32" s="114">
        <v>120</v>
      </c>
      <c r="E32" s="115"/>
      <c r="F32" s="116">
        <v>120</v>
      </c>
    </row>
    <row r="33" spans="2:6" x14ac:dyDescent="0.3">
      <c r="B33" s="179"/>
      <c r="C33" s="107" t="s">
        <v>310</v>
      </c>
      <c r="D33" s="114">
        <v>150</v>
      </c>
      <c r="E33" s="115"/>
      <c r="F33" s="116">
        <v>150</v>
      </c>
    </row>
    <row r="34" spans="2:6" x14ac:dyDescent="0.3">
      <c r="B34" s="179"/>
      <c r="C34" s="107" t="s">
        <v>311</v>
      </c>
      <c r="D34" s="114">
        <v>1000</v>
      </c>
      <c r="E34" s="115"/>
      <c r="F34" s="116">
        <v>1000</v>
      </c>
    </row>
    <row r="35" spans="2:6" x14ac:dyDescent="0.3">
      <c r="B35" s="179"/>
      <c r="C35" s="107" t="s">
        <v>312</v>
      </c>
      <c r="D35" s="114">
        <v>65</v>
      </c>
      <c r="E35" s="115"/>
      <c r="F35" s="116">
        <v>65</v>
      </c>
    </row>
    <row r="36" spans="2:6" x14ac:dyDescent="0.3">
      <c r="B36" s="22" t="s">
        <v>174</v>
      </c>
      <c r="C36" s="23"/>
      <c r="D36" s="117">
        <v>28622.16</v>
      </c>
      <c r="E36" s="118">
        <v>2000</v>
      </c>
      <c r="F36" s="119">
        <v>30622.16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2"/>
  <sheetViews>
    <sheetView workbookViewId="0">
      <selection activeCell="J11" sqref="J11"/>
    </sheetView>
  </sheetViews>
  <sheetFormatPr defaultRowHeight="16.2" x14ac:dyDescent="0.3"/>
  <cols>
    <col min="2" max="2" width="18.44140625" customWidth="1"/>
    <col min="3" max="3" width="30.5546875" customWidth="1"/>
    <col min="4" max="4" width="11" customWidth="1"/>
    <col min="5" max="5" width="7.77734375" hidden="1" customWidth="1"/>
    <col min="6" max="6" width="11" customWidth="1"/>
    <col min="7" max="7" width="10.33203125" bestFit="1" customWidth="1"/>
  </cols>
  <sheetData>
    <row r="2" spans="2:7" x14ac:dyDescent="0.3">
      <c r="B2" s="24" t="s">
        <v>176</v>
      </c>
      <c r="C2" s="18"/>
      <c r="D2" s="18"/>
      <c r="E2" s="18"/>
    </row>
    <row r="3" spans="2:7" x14ac:dyDescent="0.3">
      <c r="B3" s="24" t="s">
        <v>217</v>
      </c>
      <c r="C3" s="18"/>
      <c r="D3" s="18"/>
      <c r="E3" s="18"/>
    </row>
    <row r="4" spans="2:7" x14ac:dyDescent="0.3">
      <c r="B4" s="98" t="s">
        <v>177</v>
      </c>
      <c r="C4" s="110">
        <v>1</v>
      </c>
    </row>
    <row r="5" spans="2:7" x14ac:dyDescent="0.3">
      <c r="B5" s="98" t="s">
        <v>178</v>
      </c>
      <c r="C5" s="120" t="s">
        <v>179</v>
      </c>
    </row>
    <row r="7" spans="2:7" x14ac:dyDescent="0.3">
      <c r="B7" s="100" t="s">
        <v>170</v>
      </c>
      <c r="C7" s="101"/>
      <c r="D7" s="102" t="s">
        <v>171</v>
      </c>
      <c r="E7" s="101"/>
      <c r="F7" s="101"/>
      <c r="G7" s="103"/>
    </row>
    <row r="8" spans="2:7" x14ac:dyDescent="0.3">
      <c r="B8" s="104" t="s">
        <v>172</v>
      </c>
      <c r="C8" s="105" t="s">
        <v>173</v>
      </c>
      <c r="D8" s="108" t="s">
        <v>181</v>
      </c>
      <c r="E8" s="122" t="s">
        <v>183</v>
      </c>
      <c r="F8" s="99" t="s">
        <v>235</v>
      </c>
      <c r="G8" s="109" t="s">
        <v>174</v>
      </c>
    </row>
    <row r="9" spans="2:7" x14ac:dyDescent="0.3">
      <c r="B9" s="161">
        <v>8</v>
      </c>
      <c r="C9" s="107" t="s">
        <v>186</v>
      </c>
      <c r="D9" s="111">
        <v>400</v>
      </c>
      <c r="E9" s="112"/>
      <c r="F9" s="112"/>
      <c r="G9" s="113">
        <v>400</v>
      </c>
    </row>
    <row r="10" spans="2:7" x14ac:dyDescent="0.3">
      <c r="B10" s="162">
        <v>9</v>
      </c>
      <c r="C10" s="107" t="s">
        <v>236</v>
      </c>
      <c r="D10" s="114">
        <v>40</v>
      </c>
      <c r="E10" s="115"/>
      <c r="F10" s="115"/>
      <c r="G10" s="116">
        <v>40</v>
      </c>
    </row>
    <row r="11" spans="2:7" x14ac:dyDescent="0.3">
      <c r="B11" s="162">
        <v>10</v>
      </c>
      <c r="C11" s="107" t="s">
        <v>237</v>
      </c>
      <c r="D11" s="114">
        <v>100</v>
      </c>
      <c r="E11" s="115"/>
      <c r="F11" s="115"/>
      <c r="G11" s="116">
        <v>100</v>
      </c>
    </row>
    <row r="12" spans="2:7" x14ac:dyDescent="0.3">
      <c r="B12" s="162">
        <v>11</v>
      </c>
      <c r="C12" s="107" t="s">
        <v>238</v>
      </c>
      <c r="D12" s="114">
        <v>300</v>
      </c>
      <c r="E12" s="115"/>
      <c r="F12" s="115"/>
      <c r="G12" s="116">
        <v>300</v>
      </c>
    </row>
    <row r="13" spans="2:7" x14ac:dyDescent="0.3">
      <c r="B13" s="163">
        <v>13</v>
      </c>
      <c r="C13" s="107" t="s">
        <v>239</v>
      </c>
      <c r="D13" s="114">
        <v>100</v>
      </c>
      <c r="E13" s="115"/>
      <c r="F13" s="115"/>
      <c r="G13" s="116">
        <v>100</v>
      </c>
    </row>
    <row r="14" spans="2:7" x14ac:dyDescent="0.3">
      <c r="B14" s="166">
        <v>17</v>
      </c>
      <c r="C14" s="107" t="s">
        <v>240</v>
      </c>
      <c r="D14" s="114">
        <v>272</v>
      </c>
      <c r="E14" s="115"/>
      <c r="F14" s="115"/>
      <c r="G14" s="116">
        <v>272</v>
      </c>
    </row>
    <row r="15" spans="2:7" x14ac:dyDescent="0.3">
      <c r="B15" s="161">
        <v>18</v>
      </c>
      <c r="C15" s="107" t="s">
        <v>275</v>
      </c>
      <c r="D15" s="114">
        <v>600</v>
      </c>
      <c r="E15" s="115"/>
      <c r="F15" s="115"/>
      <c r="G15" s="116">
        <v>600</v>
      </c>
    </row>
    <row r="16" spans="2:7" x14ac:dyDescent="0.3">
      <c r="B16" s="163">
        <v>20</v>
      </c>
      <c r="C16" s="107" t="s">
        <v>241</v>
      </c>
      <c r="D16" s="114">
        <v>538.06999999999994</v>
      </c>
      <c r="E16" s="165"/>
      <c r="F16" s="115">
        <v>2000</v>
      </c>
      <c r="G16" s="116">
        <v>2538.0699999999997</v>
      </c>
    </row>
    <row r="17" spans="2:7" x14ac:dyDescent="0.3">
      <c r="B17" s="166">
        <v>27</v>
      </c>
      <c r="C17" s="107" t="s">
        <v>242</v>
      </c>
      <c r="D17" s="114">
        <v>50</v>
      </c>
      <c r="E17" s="115"/>
      <c r="F17" s="115"/>
      <c r="G17" s="116">
        <v>50</v>
      </c>
    </row>
    <row r="18" spans="2:7" x14ac:dyDescent="0.3">
      <c r="B18" s="166">
        <v>41</v>
      </c>
      <c r="C18" s="107" t="s">
        <v>190</v>
      </c>
      <c r="D18" s="114">
        <v>400</v>
      </c>
      <c r="E18" s="115"/>
      <c r="F18" s="115"/>
      <c r="G18" s="116">
        <v>400</v>
      </c>
    </row>
    <row r="19" spans="2:7" x14ac:dyDescent="0.3">
      <c r="B19" s="166">
        <v>45</v>
      </c>
      <c r="C19" s="107" t="s">
        <v>243</v>
      </c>
      <c r="D19" s="114">
        <v>30</v>
      </c>
      <c r="E19" s="115"/>
      <c r="F19" s="115"/>
      <c r="G19" s="116">
        <v>30</v>
      </c>
    </row>
    <row r="20" spans="2:7" x14ac:dyDescent="0.3">
      <c r="B20" s="166">
        <v>120</v>
      </c>
      <c r="C20" s="107" t="s">
        <v>244</v>
      </c>
      <c r="D20" s="114">
        <v>100</v>
      </c>
      <c r="E20" s="115"/>
      <c r="F20" s="115"/>
      <c r="G20" s="116">
        <v>100</v>
      </c>
    </row>
    <row r="21" spans="2:7" x14ac:dyDescent="0.3">
      <c r="B21" s="106" t="s">
        <v>183</v>
      </c>
      <c r="C21" s="107" t="s">
        <v>183</v>
      </c>
      <c r="D21" s="114"/>
      <c r="E21" s="115"/>
      <c r="F21" s="115"/>
      <c r="G21" s="116"/>
    </row>
    <row r="22" spans="2:7" x14ac:dyDescent="0.3">
      <c r="B22" s="22" t="s">
        <v>174</v>
      </c>
      <c r="C22" s="23"/>
      <c r="D22" s="117">
        <v>2930.0699999999997</v>
      </c>
      <c r="E22" s="118"/>
      <c r="F22" s="118">
        <v>2000</v>
      </c>
      <c r="G22" s="119">
        <v>4930.07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F21"/>
  <sheetViews>
    <sheetView workbookViewId="0">
      <selection activeCell="C5" sqref="C5"/>
    </sheetView>
  </sheetViews>
  <sheetFormatPr defaultRowHeight="16.2" x14ac:dyDescent="0.3"/>
  <cols>
    <col min="3" max="3" width="18.44140625" customWidth="1"/>
    <col min="4" max="4" width="29.109375" customWidth="1"/>
    <col min="5" max="5" width="11" customWidth="1"/>
    <col min="6" max="6" width="10.33203125" customWidth="1"/>
    <col min="7" max="7" width="6.21875" customWidth="1"/>
  </cols>
  <sheetData>
    <row r="3" spans="3:6" x14ac:dyDescent="0.3">
      <c r="C3" s="24" t="s">
        <v>176</v>
      </c>
      <c r="D3" s="18"/>
      <c r="E3" s="18"/>
      <c r="F3" s="18"/>
    </row>
    <row r="4" spans="3:6" x14ac:dyDescent="0.3">
      <c r="C4" s="24" t="s">
        <v>217</v>
      </c>
      <c r="D4" s="18"/>
      <c r="E4" s="18"/>
      <c r="F4" s="18"/>
    </row>
    <row r="5" spans="3:6" x14ac:dyDescent="0.3">
      <c r="C5" s="98" t="s">
        <v>177</v>
      </c>
      <c r="D5" s="110">
        <v>2</v>
      </c>
    </row>
    <row r="6" spans="3:6" x14ac:dyDescent="0.3">
      <c r="C6" s="98" t="s">
        <v>178</v>
      </c>
      <c r="D6" s="120" t="s">
        <v>179</v>
      </c>
    </row>
    <row r="8" spans="3:6" x14ac:dyDescent="0.3">
      <c r="C8" s="100" t="s">
        <v>170</v>
      </c>
      <c r="D8" s="101"/>
      <c r="E8" s="102" t="s">
        <v>171</v>
      </c>
      <c r="F8" s="103"/>
    </row>
    <row r="9" spans="3:6" x14ac:dyDescent="0.3">
      <c r="C9" s="104" t="s">
        <v>172</v>
      </c>
      <c r="D9" s="105" t="s">
        <v>173</v>
      </c>
      <c r="E9" s="109" t="s">
        <v>181</v>
      </c>
      <c r="F9" s="109" t="s">
        <v>174</v>
      </c>
    </row>
    <row r="10" spans="3:6" x14ac:dyDescent="0.3">
      <c r="C10" s="161">
        <v>8</v>
      </c>
      <c r="D10" s="107" t="s">
        <v>186</v>
      </c>
      <c r="E10" s="111">
        <v>600</v>
      </c>
      <c r="F10" s="113">
        <v>600</v>
      </c>
    </row>
    <row r="11" spans="3:6" x14ac:dyDescent="0.3">
      <c r="C11" s="162">
        <v>9</v>
      </c>
      <c r="D11" s="107" t="s">
        <v>236</v>
      </c>
      <c r="E11" s="114">
        <v>40</v>
      </c>
      <c r="F11" s="116">
        <v>40</v>
      </c>
    </row>
    <row r="12" spans="3:6" x14ac:dyDescent="0.3">
      <c r="C12" s="162">
        <v>10</v>
      </c>
      <c r="D12" s="107" t="s">
        <v>237</v>
      </c>
      <c r="E12" s="114">
        <v>100</v>
      </c>
      <c r="F12" s="116">
        <v>100</v>
      </c>
    </row>
    <row r="13" spans="3:6" x14ac:dyDescent="0.3">
      <c r="C13" s="162">
        <v>11</v>
      </c>
      <c r="D13" s="107" t="s">
        <v>238</v>
      </c>
      <c r="E13" s="114">
        <v>300</v>
      </c>
      <c r="F13" s="116">
        <v>300</v>
      </c>
    </row>
    <row r="14" spans="3:6" x14ac:dyDescent="0.3">
      <c r="C14" s="162">
        <v>12</v>
      </c>
      <c r="D14" s="107" t="s">
        <v>307</v>
      </c>
      <c r="E14" s="114">
        <v>100</v>
      </c>
      <c r="F14" s="116">
        <v>100</v>
      </c>
    </row>
    <row r="15" spans="3:6" x14ac:dyDescent="0.3">
      <c r="C15" s="162">
        <v>13</v>
      </c>
      <c r="D15" s="107" t="s">
        <v>239</v>
      </c>
      <c r="E15" s="114">
        <v>100</v>
      </c>
      <c r="F15" s="116">
        <v>100</v>
      </c>
    </row>
    <row r="16" spans="3:6" x14ac:dyDescent="0.3">
      <c r="C16" s="162">
        <v>18</v>
      </c>
      <c r="D16" s="107" t="s">
        <v>275</v>
      </c>
      <c r="E16" s="114">
        <v>700</v>
      </c>
      <c r="F16" s="116">
        <v>700</v>
      </c>
    </row>
    <row r="17" spans="3:6" x14ac:dyDescent="0.3">
      <c r="C17" s="163">
        <v>20</v>
      </c>
      <c r="D17" s="107" t="s">
        <v>241</v>
      </c>
      <c r="E17" s="164">
        <v>588</v>
      </c>
      <c r="F17" s="116">
        <v>588</v>
      </c>
    </row>
    <row r="18" spans="3:6" x14ac:dyDescent="0.3">
      <c r="C18" s="106">
        <v>41</v>
      </c>
      <c r="D18" s="107" t="s">
        <v>190</v>
      </c>
      <c r="E18" s="114">
        <v>400</v>
      </c>
      <c r="F18" s="116">
        <v>400</v>
      </c>
    </row>
    <row r="19" spans="3:6" x14ac:dyDescent="0.3">
      <c r="C19" s="106">
        <v>120</v>
      </c>
      <c r="D19" s="107" t="s">
        <v>266</v>
      </c>
      <c r="E19" s="114">
        <v>7.29</v>
      </c>
      <c r="F19" s="116">
        <v>7.29</v>
      </c>
    </row>
    <row r="20" spans="3:6" x14ac:dyDescent="0.3">
      <c r="C20" s="106" t="s">
        <v>268</v>
      </c>
      <c r="D20" s="107" t="s">
        <v>269</v>
      </c>
      <c r="E20" s="114">
        <v>100</v>
      </c>
      <c r="F20" s="116">
        <v>100</v>
      </c>
    </row>
    <row r="21" spans="3:6" x14ac:dyDescent="0.3">
      <c r="C21" s="22" t="s">
        <v>174</v>
      </c>
      <c r="D21" s="23"/>
      <c r="E21" s="117">
        <v>3035.29</v>
      </c>
      <c r="F21" s="119">
        <v>3035.29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F29"/>
  <sheetViews>
    <sheetView topLeftCell="A7" workbookViewId="0">
      <selection activeCell="C6" sqref="C6"/>
    </sheetView>
  </sheetViews>
  <sheetFormatPr defaultRowHeight="16.2" x14ac:dyDescent="0.3"/>
  <cols>
    <col min="3" max="3" width="18.44140625" customWidth="1"/>
    <col min="4" max="4" width="33" customWidth="1"/>
    <col min="5" max="5" width="11" customWidth="1"/>
    <col min="6" max="6" width="10.33203125" customWidth="1"/>
  </cols>
  <sheetData>
    <row r="4" spans="3:6" x14ac:dyDescent="0.3">
      <c r="C4" s="24" t="s">
        <v>176</v>
      </c>
      <c r="D4" s="18"/>
      <c r="E4" s="18"/>
      <c r="F4" s="18"/>
    </row>
    <row r="5" spans="3:6" x14ac:dyDescent="0.3">
      <c r="C5" s="24" t="s">
        <v>217</v>
      </c>
      <c r="D5" s="18"/>
      <c r="E5" s="18"/>
      <c r="F5" s="18"/>
    </row>
    <row r="6" spans="3:6" x14ac:dyDescent="0.3">
      <c r="C6" s="98" t="s">
        <v>177</v>
      </c>
      <c r="D6" s="110">
        <v>3</v>
      </c>
    </row>
    <row r="7" spans="3:6" x14ac:dyDescent="0.3">
      <c r="C7" s="98" t="s">
        <v>178</v>
      </c>
      <c r="D7" s="120" t="s">
        <v>179</v>
      </c>
    </row>
    <row r="9" spans="3:6" x14ac:dyDescent="0.3">
      <c r="C9" s="100" t="s">
        <v>170</v>
      </c>
      <c r="D9" s="101"/>
      <c r="E9" s="102" t="s">
        <v>171</v>
      </c>
      <c r="F9" s="103"/>
    </row>
    <row r="10" spans="3:6" x14ac:dyDescent="0.3">
      <c r="C10" s="104" t="s">
        <v>172</v>
      </c>
      <c r="D10" s="105" t="s">
        <v>173</v>
      </c>
      <c r="E10" s="109" t="s">
        <v>181</v>
      </c>
      <c r="F10" s="109" t="s">
        <v>174</v>
      </c>
    </row>
    <row r="11" spans="3:6" x14ac:dyDescent="0.3">
      <c r="C11" s="178">
        <v>2</v>
      </c>
      <c r="D11" s="107" t="s">
        <v>276</v>
      </c>
      <c r="E11" s="111">
        <v>600</v>
      </c>
      <c r="F11" s="113">
        <v>600</v>
      </c>
    </row>
    <row r="12" spans="3:6" x14ac:dyDescent="0.3">
      <c r="C12" s="166">
        <v>7</v>
      </c>
      <c r="D12" s="107" t="s">
        <v>277</v>
      </c>
      <c r="E12" s="114">
        <v>1000</v>
      </c>
      <c r="F12" s="116">
        <v>1000</v>
      </c>
    </row>
    <row r="13" spans="3:6" x14ac:dyDescent="0.3">
      <c r="C13" s="161">
        <v>8</v>
      </c>
      <c r="D13" s="107" t="s">
        <v>186</v>
      </c>
      <c r="E13" s="114">
        <v>1000</v>
      </c>
      <c r="F13" s="116">
        <v>1000</v>
      </c>
    </row>
    <row r="14" spans="3:6" x14ac:dyDescent="0.3">
      <c r="C14" s="162">
        <v>9</v>
      </c>
      <c r="D14" s="107" t="s">
        <v>236</v>
      </c>
      <c r="E14" s="114">
        <v>60</v>
      </c>
      <c r="F14" s="116">
        <v>60</v>
      </c>
    </row>
    <row r="15" spans="3:6" x14ac:dyDescent="0.3">
      <c r="C15" s="162">
        <v>11</v>
      </c>
      <c r="D15" s="107" t="s">
        <v>238</v>
      </c>
      <c r="E15" s="114">
        <v>300</v>
      </c>
      <c r="F15" s="116">
        <v>300</v>
      </c>
    </row>
    <row r="16" spans="3:6" x14ac:dyDescent="0.3">
      <c r="C16" s="162">
        <v>12</v>
      </c>
      <c r="D16" s="107" t="s">
        <v>307</v>
      </c>
      <c r="E16" s="114">
        <v>100</v>
      </c>
      <c r="F16" s="116">
        <v>100</v>
      </c>
    </row>
    <row r="17" spans="3:6" x14ac:dyDescent="0.3">
      <c r="C17" s="162">
        <v>13</v>
      </c>
      <c r="D17" s="107" t="s">
        <v>239</v>
      </c>
      <c r="E17" s="114">
        <v>400</v>
      </c>
      <c r="F17" s="116">
        <v>400</v>
      </c>
    </row>
    <row r="18" spans="3:6" x14ac:dyDescent="0.3">
      <c r="C18" s="162">
        <v>18</v>
      </c>
      <c r="D18" s="107" t="s">
        <v>275</v>
      </c>
      <c r="E18" s="114">
        <v>800</v>
      </c>
      <c r="F18" s="116">
        <v>800</v>
      </c>
    </row>
    <row r="19" spans="3:6" x14ac:dyDescent="0.3">
      <c r="C19" s="163">
        <v>20</v>
      </c>
      <c r="D19" s="107" t="s">
        <v>241</v>
      </c>
      <c r="E19" s="114">
        <v>240</v>
      </c>
      <c r="F19" s="116">
        <v>240</v>
      </c>
    </row>
    <row r="20" spans="3:6" x14ac:dyDescent="0.3">
      <c r="C20" s="166">
        <v>25</v>
      </c>
      <c r="D20" s="107" t="s">
        <v>278</v>
      </c>
      <c r="E20" s="114">
        <v>200</v>
      </c>
      <c r="F20" s="116">
        <v>200</v>
      </c>
    </row>
    <row r="21" spans="3:6" x14ac:dyDescent="0.3">
      <c r="C21" s="106">
        <v>40</v>
      </c>
      <c r="D21" s="107" t="s">
        <v>279</v>
      </c>
      <c r="E21" s="114">
        <v>100</v>
      </c>
      <c r="F21" s="116">
        <v>100</v>
      </c>
    </row>
    <row r="22" spans="3:6" x14ac:dyDescent="0.3">
      <c r="C22" s="166">
        <v>41</v>
      </c>
      <c r="D22" s="107" t="s">
        <v>190</v>
      </c>
      <c r="E22" s="114">
        <v>200</v>
      </c>
      <c r="F22" s="116">
        <v>200</v>
      </c>
    </row>
    <row r="23" spans="3:6" x14ac:dyDescent="0.3">
      <c r="C23" s="106">
        <v>45</v>
      </c>
      <c r="D23" s="107" t="s">
        <v>243</v>
      </c>
      <c r="E23" s="114">
        <v>9</v>
      </c>
      <c r="F23" s="116">
        <v>9</v>
      </c>
    </row>
    <row r="24" spans="3:6" x14ac:dyDescent="0.3">
      <c r="C24" s="106">
        <v>46</v>
      </c>
      <c r="D24" s="107" t="s">
        <v>280</v>
      </c>
      <c r="E24" s="114">
        <v>200</v>
      </c>
      <c r="F24" s="116">
        <v>200</v>
      </c>
    </row>
    <row r="25" spans="3:6" x14ac:dyDescent="0.3">
      <c r="C25" s="106">
        <v>47</v>
      </c>
      <c r="D25" s="107" t="s">
        <v>289</v>
      </c>
      <c r="E25" s="114">
        <v>400</v>
      </c>
      <c r="F25" s="116">
        <v>400</v>
      </c>
    </row>
    <row r="26" spans="3:6" x14ac:dyDescent="0.3">
      <c r="C26" s="166">
        <v>120</v>
      </c>
      <c r="D26" s="107" t="s">
        <v>267</v>
      </c>
      <c r="E26" s="114">
        <v>120</v>
      </c>
      <c r="F26" s="116">
        <v>120</v>
      </c>
    </row>
    <row r="27" spans="3:6" x14ac:dyDescent="0.3">
      <c r="C27" s="106" t="s">
        <v>268</v>
      </c>
      <c r="D27" s="107" t="s">
        <v>269</v>
      </c>
      <c r="E27" s="114">
        <v>200</v>
      </c>
      <c r="F27" s="116">
        <v>200</v>
      </c>
    </row>
    <row r="28" spans="3:6" x14ac:dyDescent="0.3">
      <c r="C28" s="106" t="s">
        <v>253</v>
      </c>
      <c r="D28" s="107" t="s">
        <v>188</v>
      </c>
      <c r="E28" s="114">
        <v>100</v>
      </c>
      <c r="F28" s="116">
        <v>100</v>
      </c>
    </row>
    <row r="29" spans="3:6" x14ac:dyDescent="0.3">
      <c r="C29" s="22" t="s">
        <v>174</v>
      </c>
      <c r="D29" s="23"/>
      <c r="E29" s="117">
        <v>6029</v>
      </c>
      <c r="F29" s="119">
        <v>6029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9"/>
  <sheetViews>
    <sheetView workbookViewId="0">
      <selection activeCell="B4" sqref="B4"/>
    </sheetView>
  </sheetViews>
  <sheetFormatPr defaultRowHeight="16.2" x14ac:dyDescent="0.3"/>
  <cols>
    <col min="2" max="2" width="18.44140625" customWidth="1"/>
    <col min="3" max="3" width="32.88671875" customWidth="1"/>
    <col min="4" max="4" width="11" customWidth="1"/>
    <col min="5" max="5" width="10.33203125" customWidth="1"/>
  </cols>
  <sheetData>
    <row r="1" spans="2:11" x14ac:dyDescent="0.3">
      <c r="B1" s="24" t="s">
        <v>176</v>
      </c>
      <c r="C1" s="18"/>
      <c r="D1" s="18"/>
      <c r="E1" s="18"/>
    </row>
    <row r="2" spans="2:11" x14ac:dyDescent="0.3">
      <c r="B2" s="24" t="s">
        <v>217</v>
      </c>
      <c r="C2" s="18"/>
      <c r="D2" s="18"/>
      <c r="E2" s="18"/>
    </row>
    <row r="3" spans="2:11" x14ac:dyDescent="0.3">
      <c r="B3" s="98" t="s">
        <v>177</v>
      </c>
      <c r="C3" s="110">
        <v>4</v>
      </c>
    </row>
    <row r="4" spans="2:11" x14ac:dyDescent="0.3">
      <c r="B4" s="98" t="s">
        <v>178</v>
      </c>
      <c r="C4" s="120" t="s">
        <v>179</v>
      </c>
    </row>
    <row r="6" spans="2:11" x14ac:dyDescent="0.3">
      <c r="B6" s="100" t="s">
        <v>170</v>
      </c>
      <c r="C6" s="101"/>
      <c r="D6" s="102" t="s">
        <v>171</v>
      </c>
      <c r="E6" s="103"/>
    </row>
    <row r="7" spans="2:11" x14ac:dyDescent="0.3">
      <c r="B7" s="104" t="s">
        <v>172</v>
      </c>
      <c r="C7" s="105" t="s">
        <v>173</v>
      </c>
      <c r="D7" s="109" t="s">
        <v>181</v>
      </c>
      <c r="E7" s="109" t="s">
        <v>174</v>
      </c>
      <c r="G7" s="46" t="str">
        <f>姓名檔!F65</f>
        <v>Stephen &amp; Hsin-Ju Shih(Amy)</v>
      </c>
      <c r="H7" s="46"/>
      <c r="I7" s="47" t="s">
        <v>168</v>
      </c>
      <c r="J7" s="47"/>
      <c r="K7" s="47"/>
    </row>
    <row r="8" spans="2:11" x14ac:dyDescent="0.3">
      <c r="B8" s="161">
        <v>6</v>
      </c>
      <c r="C8" s="107" t="s">
        <v>294</v>
      </c>
      <c r="D8" s="188">
        <v>3000</v>
      </c>
      <c r="E8" s="113">
        <v>3000</v>
      </c>
    </row>
    <row r="9" spans="2:11" x14ac:dyDescent="0.3">
      <c r="B9" s="162">
        <v>8</v>
      </c>
      <c r="C9" s="107" t="s">
        <v>186</v>
      </c>
      <c r="D9" s="114">
        <v>800</v>
      </c>
      <c r="E9" s="116">
        <v>800</v>
      </c>
    </row>
    <row r="10" spans="2:11" x14ac:dyDescent="0.3">
      <c r="B10" s="162">
        <v>9</v>
      </c>
      <c r="C10" s="107" t="s">
        <v>236</v>
      </c>
      <c r="D10" s="114">
        <v>60</v>
      </c>
      <c r="E10" s="116">
        <v>60</v>
      </c>
    </row>
    <row r="11" spans="2:11" x14ac:dyDescent="0.3">
      <c r="B11" s="162">
        <v>10</v>
      </c>
      <c r="C11" s="107" t="s">
        <v>237</v>
      </c>
      <c r="D11" s="114">
        <v>100</v>
      </c>
      <c r="E11" s="116">
        <v>100</v>
      </c>
    </row>
    <row r="12" spans="2:11" x14ac:dyDescent="0.3">
      <c r="B12" s="162">
        <v>11</v>
      </c>
      <c r="C12" s="107" t="s">
        <v>238</v>
      </c>
      <c r="D12" s="114">
        <v>100</v>
      </c>
      <c r="E12" s="116">
        <v>100</v>
      </c>
    </row>
    <row r="13" spans="2:11" x14ac:dyDescent="0.3">
      <c r="B13" s="162">
        <v>12</v>
      </c>
      <c r="C13" s="107" t="s">
        <v>307</v>
      </c>
      <c r="D13" s="114">
        <v>100</v>
      </c>
      <c r="E13" s="116">
        <v>100</v>
      </c>
    </row>
    <row r="14" spans="2:11" x14ac:dyDescent="0.3">
      <c r="B14" s="162">
        <v>13</v>
      </c>
      <c r="C14" s="107" t="s">
        <v>239</v>
      </c>
      <c r="D14" s="114">
        <v>200</v>
      </c>
      <c r="E14" s="116">
        <v>200</v>
      </c>
    </row>
    <row r="15" spans="2:11" x14ac:dyDescent="0.3">
      <c r="B15" s="162">
        <v>18</v>
      </c>
      <c r="C15" s="107" t="s">
        <v>275</v>
      </c>
      <c r="D15" s="114">
        <v>600</v>
      </c>
      <c r="E15" s="116">
        <v>600</v>
      </c>
    </row>
    <row r="16" spans="2:11" x14ac:dyDescent="0.3">
      <c r="B16" s="163">
        <v>20</v>
      </c>
      <c r="C16" s="107" t="s">
        <v>241</v>
      </c>
      <c r="D16" s="164">
        <v>163</v>
      </c>
      <c r="E16" s="116">
        <v>163</v>
      </c>
    </row>
    <row r="17" spans="2:5" x14ac:dyDescent="0.3">
      <c r="B17" s="106">
        <v>40</v>
      </c>
      <c r="C17" s="107" t="s">
        <v>279</v>
      </c>
      <c r="D17" s="114">
        <v>100</v>
      </c>
      <c r="E17" s="116">
        <v>100</v>
      </c>
    </row>
    <row r="18" spans="2:5" x14ac:dyDescent="0.3">
      <c r="B18" s="106">
        <v>42</v>
      </c>
      <c r="C18" s="107" t="s">
        <v>290</v>
      </c>
      <c r="D18" s="114">
        <v>100</v>
      </c>
      <c r="E18" s="116">
        <v>100</v>
      </c>
    </row>
    <row r="19" spans="2:5" x14ac:dyDescent="0.3">
      <c r="B19" s="22" t="s">
        <v>174</v>
      </c>
      <c r="C19" s="23"/>
      <c r="D19" s="117">
        <v>5323</v>
      </c>
      <c r="E19" s="119">
        <v>5323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6"/>
  <sheetViews>
    <sheetView workbookViewId="0">
      <selection activeCell="B4" sqref="B4"/>
    </sheetView>
  </sheetViews>
  <sheetFormatPr defaultRowHeight="16.2" x14ac:dyDescent="0.3"/>
  <cols>
    <col min="2" max="2" width="18.44140625" customWidth="1"/>
    <col min="3" max="3" width="36.33203125" customWidth="1"/>
    <col min="4" max="4" width="11" customWidth="1"/>
    <col min="5" max="5" width="10.33203125" customWidth="1"/>
    <col min="6" max="6" width="10.33203125" bestFit="1" customWidth="1"/>
  </cols>
  <sheetData>
    <row r="2" spans="2:5" x14ac:dyDescent="0.3">
      <c r="B2" s="24" t="s">
        <v>176</v>
      </c>
      <c r="C2" s="18"/>
      <c r="D2" s="18"/>
      <c r="E2" s="18"/>
    </row>
    <row r="3" spans="2:5" x14ac:dyDescent="0.3">
      <c r="B3" s="24" t="s">
        <v>217</v>
      </c>
      <c r="C3" s="18"/>
      <c r="D3" s="18"/>
      <c r="E3" s="18"/>
    </row>
    <row r="4" spans="2:5" x14ac:dyDescent="0.3">
      <c r="B4" s="98" t="s">
        <v>177</v>
      </c>
      <c r="C4" s="110">
        <v>5</v>
      </c>
    </row>
    <row r="5" spans="2:5" x14ac:dyDescent="0.3">
      <c r="B5" s="98" t="s">
        <v>178</v>
      </c>
      <c r="C5" s="120" t="s">
        <v>179</v>
      </c>
    </row>
    <row r="7" spans="2:5" x14ac:dyDescent="0.3">
      <c r="B7" s="100" t="s">
        <v>170</v>
      </c>
      <c r="C7" s="101"/>
      <c r="D7" s="102" t="s">
        <v>171</v>
      </c>
      <c r="E7" s="103"/>
    </row>
    <row r="8" spans="2:5" x14ac:dyDescent="0.3">
      <c r="B8" s="104" t="s">
        <v>172</v>
      </c>
      <c r="C8" s="105" t="s">
        <v>173</v>
      </c>
      <c r="D8" s="109" t="s">
        <v>181</v>
      </c>
      <c r="E8" s="109" t="s">
        <v>174</v>
      </c>
    </row>
    <row r="9" spans="2:5" x14ac:dyDescent="0.3">
      <c r="B9" s="167">
        <v>8</v>
      </c>
      <c r="C9" s="107" t="s">
        <v>186</v>
      </c>
      <c r="D9" s="111">
        <v>1000</v>
      </c>
      <c r="E9" s="113">
        <v>1000</v>
      </c>
    </row>
    <row r="10" spans="2:5" x14ac:dyDescent="0.3">
      <c r="B10" s="168">
        <v>9</v>
      </c>
      <c r="C10" s="107" t="s">
        <v>236</v>
      </c>
      <c r="D10" s="114">
        <v>40</v>
      </c>
      <c r="E10" s="116">
        <v>40</v>
      </c>
    </row>
    <row r="11" spans="2:5" x14ac:dyDescent="0.3">
      <c r="B11" s="168">
        <v>10</v>
      </c>
      <c r="C11" s="107" t="s">
        <v>237</v>
      </c>
      <c r="D11" s="114">
        <v>50</v>
      </c>
      <c r="E11" s="116">
        <v>50</v>
      </c>
    </row>
    <row r="12" spans="2:5" x14ac:dyDescent="0.3">
      <c r="B12" s="168">
        <v>11</v>
      </c>
      <c r="C12" s="107" t="s">
        <v>238</v>
      </c>
      <c r="D12" s="114">
        <v>200</v>
      </c>
      <c r="E12" s="116">
        <v>200</v>
      </c>
    </row>
    <row r="13" spans="2:5" x14ac:dyDescent="0.3">
      <c r="B13" s="162">
        <v>12</v>
      </c>
      <c r="C13" s="107" t="s">
        <v>307</v>
      </c>
      <c r="D13" s="114">
        <v>100</v>
      </c>
      <c r="E13" s="116">
        <v>100</v>
      </c>
    </row>
    <row r="14" spans="2:5" x14ac:dyDescent="0.3">
      <c r="B14" s="168">
        <v>13</v>
      </c>
      <c r="C14" s="107" t="s">
        <v>239</v>
      </c>
      <c r="D14" s="114">
        <v>200</v>
      </c>
      <c r="E14" s="116">
        <v>200</v>
      </c>
    </row>
    <row r="15" spans="2:5" x14ac:dyDescent="0.3">
      <c r="B15" s="162">
        <v>18</v>
      </c>
      <c r="C15" s="107" t="s">
        <v>275</v>
      </c>
      <c r="D15" s="114">
        <v>700</v>
      </c>
      <c r="E15" s="116">
        <v>700</v>
      </c>
    </row>
    <row r="16" spans="2:5" x14ac:dyDescent="0.3">
      <c r="B16" s="169">
        <v>20</v>
      </c>
      <c r="C16" s="107" t="s">
        <v>241</v>
      </c>
      <c r="D16" s="164">
        <v>301</v>
      </c>
      <c r="E16" s="116">
        <v>301</v>
      </c>
    </row>
    <row r="17" spans="2:5" x14ac:dyDescent="0.3">
      <c r="B17" s="42">
        <v>26</v>
      </c>
      <c r="C17" s="107" t="s">
        <v>309</v>
      </c>
      <c r="D17" s="114">
        <v>100</v>
      </c>
      <c r="E17" s="116">
        <v>100</v>
      </c>
    </row>
    <row r="18" spans="2:5" x14ac:dyDescent="0.3">
      <c r="B18" s="42">
        <v>27</v>
      </c>
      <c r="C18" s="107" t="s">
        <v>242</v>
      </c>
      <c r="D18" s="114">
        <v>100</v>
      </c>
      <c r="E18" s="116">
        <v>100</v>
      </c>
    </row>
    <row r="19" spans="2:5" x14ac:dyDescent="0.3">
      <c r="B19" s="121">
        <v>40</v>
      </c>
      <c r="C19" s="107" t="s">
        <v>279</v>
      </c>
      <c r="D19" s="114">
        <v>100</v>
      </c>
      <c r="E19" s="116">
        <v>100</v>
      </c>
    </row>
    <row r="20" spans="2:5" x14ac:dyDescent="0.3">
      <c r="B20" s="166">
        <v>41</v>
      </c>
      <c r="C20" s="107" t="s">
        <v>190</v>
      </c>
      <c r="D20" s="114">
        <v>500</v>
      </c>
      <c r="E20" s="116">
        <v>500</v>
      </c>
    </row>
    <row r="21" spans="2:5" x14ac:dyDescent="0.3">
      <c r="B21" s="106">
        <v>45</v>
      </c>
      <c r="C21" s="107" t="s">
        <v>243</v>
      </c>
      <c r="D21" s="114">
        <v>9</v>
      </c>
      <c r="E21" s="116">
        <v>9</v>
      </c>
    </row>
    <row r="22" spans="2:5" x14ac:dyDescent="0.3">
      <c r="B22" s="106">
        <v>46</v>
      </c>
      <c r="C22" s="107" t="s">
        <v>280</v>
      </c>
      <c r="D22" s="114">
        <v>50</v>
      </c>
      <c r="E22" s="116">
        <v>50</v>
      </c>
    </row>
    <row r="23" spans="2:5" x14ac:dyDescent="0.3">
      <c r="B23" s="106">
        <v>47</v>
      </c>
      <c r="C23" s="107" t="s">
        <v>289</v>
      </c>
      <c r="D23" s="114">
        <v>400</v>
      </c>
      <c r="E23" s="116">
        <v>400</v>
      </c>
    </row>
    <row r="24" spans="2:5" x14ac:dyDescent="0.3">
      <c r="B24" s="42">
        <v>120</v>
      </c>
      <c r="C24" s="107" t="s">
        <v>310</v>
      </c>
      <c r="D24" s="114">
        <v>150</v>
      </c>
      <c r="E24" s="116">
        <v>150</v>
      </c>
    </row>
    <row r="25" spans="2:5" x14ac:dyDescent="0.3">
      <c r="B25" s="179"/>
      <c r="C25" s="107" t="s">
        <v>311</v>
      </c>
      <c r="D25" s="114">
        <v>1000</v>
      </c>
      <c r="E25" s="116">
        <v>1000</v>
      </c>
    </row>
    <row r="26" spans="2:5" x14ac:dyDescent="0.3">
      <c r="B26" s="22" t="s">
        <v>174</v>
      </c>
      <c r="C26" s="23"/>
      <c r="D26" s="117">
        <v>5000</v>
      </c>
      <c r="E26" s="119">
        <v>5000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5"/>
  <sheetViews>
    <sheetView workbookViewId="0">
      <selection activeCell="G22" sqref="G22"/>
    </sheetView>
  </sheetViews>
  <sheetFormatPr defaultRowHeight="16.2" x14ac:dyDescent="0.3"/>
  <cols>
    <col min="2" max="2" width="18.44140625" customWidth="1"/>
    <col min="3" max="3" width="36.33203125" customWidth="1"/>
    <col min="4" max="4" width="11" customWidth="1"/>
    <col min="5" max="5" width="10.33203125" customWidth="1"/>
  </cols>
  <sheetData>
    <row r="1" spans="2:5" x14ac:dyDescent="0.3">
      <c r="B1" s="24" t="s">
        <v>176</v>
      </c>
      <c r="C1" s="18"/>
      <c r="D1" s="18"/>
      <c r="E1" s="18"/>
    </row>
    <row r="2" spans="2:5" x14ac:dyDescent="0.3">
      <c r="B2" s="24" t="s">
        <v>217</v>
      </c>
      <c r="C2" s="18"/>
      <c r="D2" s="18"/>
      <c r="E2" s="18"/>
    </row>
    <row r="3" spans="2:5" x14ac:dyDescent="0.3">
      <c r="B3" s="98" t="s">
        <v>177</v>
      </c>
      <c r="C3" s="110">
        <v>6</v>
      </c>
    </row>
    <row r="4" spans="2:5" x14ac:dyDescent="0.3">
      <c r="B4" s="98" t="s">
        <v>178</v>
      </c>
      <c r="C4" s="120" t="s">
        <v>179</v>
      </c>
    </row>
    <row r="6" spans="2:5" x14ac:dyDescent="0.3">
      <c r="B6" s="100" t="s">
        <v>170</v>
      </c>
      <c r="C6" s="101"/>
      <c r="D6" s="102" t="s">
        <v>171</v>
      </c>
      <c r="E6" s="103"/>
    </row>
    <row r="7" spans="2:5" x14ac:dyDescent="0.3">
      <c r="B7" s="104" t="s">
        <v>172</v>
      </c>
      <c r="C7" s="105" t="s">
        <v>173</v>
      </c>
      <c r="D7" s="109" t="s">
        <v>181</v>
      </c>
      <c r="E7" s="109" t="s">
        <v>174</v>
      </c>
    </row>
    <row r="8" spans="2:5" x14ac:dyDescent="0.3">
      <c r="B8" s="202">
        <v>2</v>
      </c>
      <c r="C8" s="107" t="s">
        <v>276</v>
      </c>
      <c r="D8" s="111">
        <v>300</v>
      </c>
      <c r="E8" s="113">
        <v>300</v>
      </c>
    </row>
    <row r="9" spans="2:5" x14ac:dyDescent="0.3">
      <c r="B9" s="42">
        <v>7</v>
      </c>
      <c r="C9" s="107" t="s">
        <v>277</v>
      </c>
      <c r="D9" s="114">
        <v>1000</v>
      </c>
      <c r="E9" s="116">
        <v>1000</v>
      </c>
    </row>
    <row r="10" spans="2:5" x14ac:dyDescent="0.3">
      <c r="B10" s="167">
        <v>8</v>
      </c>
      <c r="C10" s="107" t="s">
        <v>186</v>
      </c>
      <c r="D10" s="114">
        <v>400</v>
      </c>
      <c r="E10" s="116">
        <v>400</v>
      </c>
    </row>
    <row r="11" spans="2:5" x14ac:dyDescent="0.3">
      <c r="B11" s="168">
        <v>9</v>
      </c>
      <c r="C11" s="107" t="s">
        <v>236</v>
      </c>
      <c r="D11" s="114">
        <v>60</v>
      </c>
      <c r="E11" s="116">
        <v>60</v>
      </c>
    </row>
    <row r="12" spans="2:5" x14ac:dyDescent="0.3">
      <c r="B12" s="168">
        <v>10</v>
      </c>
      <c r="C12" s="107" t="s">
        <v>237</v>
      </c>
      <c r="D12" s="114">
        <v>100</v>
      </c>
      <c r="E12" s="116">
        <v>100</v>
      </c>
    </row>
    <row r="13" spans="2:5" x14ac:dyDescent="0.3">
      <c r="B13" s="168">
        <v>11</v>
      </c>
      <c r="C13" s="107" t="s">
        <v>238</v>
      </c>
      <c r="D13" s="114">
        <v>300</v>
      </c>
      <c r="E13" s="116">
        <v>300</v>
      </c>
    </row>
    <row r="14" spans="2:5" x14ac:dyDescent="0.3">
      <c r="B14" s="162">
        <v>12</v>
      </c>
      <c r="C14" s="107" t="s">
        <v>307</v>
      </c>
      <c r="D14" s="114">
        <v>200</v>
      </c>
      <c r="E14" s="116">
        <v>200</v>
      </c>
    </row>
    <row r="15" spans="2:5" x14ac:dyDescent="0.3">
      <c r="B15" s="168">
        <v>13</v>
      </c>
      <c r="C15" s="107" t="s">
        <v>239</v>
      </c>
      <c r="D15" s="114">
        <v>400</v>
      </c>
      <c r="E15" s="116">
        <v>400</v>
      </c>
    </row>
    <row r="16" spans="2:5" x14ac:dyDescent="0.3">
      <c r="B16" s="162">
        <v>18</v>
      </c>
      <c r="C16" s="107" t="s">
        <v>275</v>
      </c>
      <c r="D16" s="114">
        <v>700</v>
      </c>
      <c r="E16" s="116">
        <v>700</v>
      </c>
    </row>
    <row r="17" spans="2:5" x14ac:dyDescent="0.3">
      <c r="B17" s="162">
        <v>19</v>
      </c>
      <c r="C17" s="107" t="s">
        <v>308</v>
      </c>
      <c r="D17" s="114">
        <v>1000</v>
      </c>
      <c r="E17" s="116">
        <v>1000</v>
      </c>
    </row>
    <row r="18" spans="2:5" x14ac:dyDescent="0.3">
      <c r="B18" s="169">
        <v>20</v>
      </c>
      <c r="C18" s="107" t="s">
        <v>241</v>
      </c>
      <c r="D18" s="164">
        <v>79.8</v>
      </c>
      <c r="E18" s="116">
        <v>79.8</v>
      </c>
    </row>
    <row r="19" spans="2:5" x14ac:dyDescent="0.3">
      <c r="B19" s="166">
        <v>25</v>
      </c>
      <c r="C19" s="107" t="s">
        <v>278</v>
      </c>
      <c r="D19" s="114">
        <v>100</v>
      </c>
      <c r="E19" s="116">
        <v>100</v>
      </c>
    </row>
    <row r="20" spans="2:5" x14ac:dyDescent="0.3">
      <c r="B20" s="42">
        <v>26</v>
      </c>
      <c r="C20" s="107" t="s">
        <v>309</v>
      </c>
      <c r="D20" s="114">
        <v>500</v>
      </c>
      <c r="E20" s="116">
        <v>500</v>
      </c>
    </row>
    <row r="21" spans="2:5" x14ac:dyDescent="0.3">
      <c r="B21" s="42">
        <v>41</v>
      </c>
      <c r="C21" s="107" t="s">
        <v>190</v>
      </c>
      <c r="D21" s="114">
        <v>300</v>
      </c>
      <c r="E21" s="116">
        <v>300</v>
      </c>
    </row>
    <row r="22" spans="2:5" x14ac:dyDescent="0.3">
      <c r="B22" s="106">
        <v>46</v>
      </c>
      <c r="C22" s="107" t="s">
        <v>280</v>
      </c>
      <c r="D22" s="114">
        <v>200</v>
      </c>
      <c r="E22" s="116">
        <v>200</v>
      </c>
    </row>
    <row r="23" spans="2:5" x14ac:dyDescent="0.3">
      <c r="B23" s="106">
        <v>47</v>
      </c>
      <c r="C23" s="107" t="s">
        <v>289</v>
      </c>
      <c r="D23" s="114">
        <v>400</v>
      </c>
      <c r="E23" s="116">
        <v>400</v>
      </c>
    </row>
    <row r="24" spans="2:5" x14ac:dyDescent="0.3">
      <c r="B24" s="42">
        <v>120</v>
      </c>
      <c r="C24" s="107" t="s">
        <v>312</v>
      </c>
      <c r="D24" s="114">
        <v>65</v>
      </c>
      <c r="E24" s="116">
        <v>65</v>
      </c>
    </row>
    <row r="25" spans="2:5" x14ac:dyDescent="0.3">
      <c r="B25" s="22" t="s">
        <v>174</v>
      </c>
      <c r="C25" s="23"/>
      <c r="D25" s="117">
        <v>6104.8</v>
      </c>
      <c r="E25" s="119">
        <v>6104.8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8"/>
  <sheetViews>
    <sheetView workbookViewId="0">
      <selection activeCell="B4" sqref="B4"/>
    </sheetView>
  </sheetViews>
  <sheetFormatPr defaultRowHeight="16.2" x14ac:dyDescent="0.3"/>
  <cols>
    <col min="2" max="2" width="18.44140625" customWidth="1"/>
    <col min="3" max="3" width="10" customWidth="1"/>
    <col min="4" max="4" width="10.77734375" customWidth="1"/>
    <col min="5" max="5" width="10.33203125" customWidth="1"/>
  </cols>
  <sheetData>
    <row r="1" spans="2:5" x14ac:dyDescent="0.3">
      <c r="B1" s="24" t="s">
        <v>176</v>
      </c>
      <c r="C1" s="18"/>
      <c r="D1" s="18"/>
      <c r="E1" s="18"/>
    </row>
    <row r="2" spans="2:5" x14ac:dyDescent="0.3">
      <c r="B2" s="24" t="s">
        <v>217</v>
      </c>
      <c r="C2" s="18"/>
      <c r="D2" s="18"/>
      <c r="E2" s="18"/>
    </row>
    <row r="3" spans="2:5" x14ac:dyDescent="0.3">
      <c r="B3" s="98" t="s">
        <v>177</v>
      </c>
      <c r="C3" s="110">
        <v>7</v>
      </c>
    </row>
    <row r="4" spans="2:5" x14ac:dyDescent="0.3">
      <c r="B4" s="98" t="s">
        <v>178</v>
      </c>
      <c r="C4" s="120" t="s">
        <v>179</v>
      </c>
    </row>
    <row r="6" spans="2:5" x14ac:dyDescent="0.3">
      <c r="B6" s="100" t="s">
        <v>170</v>
      </c>
      <c r="C6" s="101"/>
      <c r="D6" s="144" t="s">
        <v>171</v>
      </c>
    </row>
    <row r="7" spans="2:5" x14ac:dyDescent="0.3">
      <c r="B7" s="104" t="s">
        <v>172</v>
      </c>
      <c r="C7" s="105" t="s">
        <v>173</v>
      </c>
      <c r="D7" s="109" t="s">
        <v>174</v>
      </c>
    </row>
    <row r="8" spans="2:5" x14ac:dyDescent="0.3">
      <c r="B8" s="22" t="s">
        <v>174</v>
      </c>
      <c r="C8" s="23"/>
      <c r="D8" s="145"/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0"/>
  <sheetViews>
    <sheetView workbookViewId="0">
      <selection activeCell="B4" sqref="B4"/>
    </sheetView>
  </sheetViews>
  <sheetFormatPr defaultRowHeight="16.2" x14ac:dyDescent="0.3"/>
  <cols>
    <col min="2" max="2" width="18.44140625" customWidth="1"/>
    <col min="3" max="3" width="10" customWidth="1"/>
    <col min="4" max="4" width="11" customWidth="1"/>
    <col min="5" max="5" width="6.21875" customWidth="1"/>
  </cols>
  <sheetData>
    <row r="2" spans="2:5" x14ac:dyDescent="0.3">
      <c r="B2" s="24" t="s">
        <v>176</v>
      </c>
      <c r="C2" s="18"/>
      <c r="D2" s="18"/>
      <c r="E2" s="18"/>
    </row>
    <row r="3" spans="2:5" x14ac:dyDescent="0.3">
      <c r="B3" s="24" t="s">
        <v>217</v>
      </c>
      <c r="C3" s="18"/>
      <c r="D3" s="18"/>
      <c r="E3" s="18"/>
    </row>
    <row r="4" spans="2:5" x14ac:dyDescent="0.3">
      <c r="B4" s="98" t="s">
        <v>177</v>
      </c>
      <c r="C4" s="110">
        <v>8</v>
      </c>
    </row>
    <row r="5" spans="2:5" x14ac:dyDescent="0.3">
      <c r="B5" s="98" t="s">
        <v>178</v>
      </c>
      <c r="C5" s="120" t="s">
        <v>179</v>
      </c>
    </row>
    <row r="7" spans="2:5" x14ac:dyDescent="0.3">
      <c r="B7" s="100" t="s">
        <v>170</v>
      </c>
      <c r="C7" s="101"/>
      <c r="D7" s="102" t="s">
        <v>171</v>
      </c>
      <c r="E7" s="103"/>
    </row>
    <row r="8" spans="2:5" x14ac:dyDescent="0.3">
      <c r="B8" s="104" t="s">
        <v>172</v>
      </c>
      <c r="C8" s="105" t="s">
        <v>173</v>
      </c>
      <c r="D8" s="109" t="s">
        <v>181</v>
      </c>
      <c r="E8" s="109" t="s">
        <v>174</v>
      </c>
    </row>
    <row r="9" spans="2:5" x14ac:dyDescent="0.3">
      <c r="B9" s="42" t="s">
        <v>183</v>
      </c>
      <c r="C9" s="107" t="s">
        <v>184</v>
      </c>
      <c r="D9" s="111"/>
      <c r="E9" s="113"/>
    </row>
    <row r="10" spans="2:5" x14ac:dyDescent="0.3">
      <c r="B10" s="22" t="s">
        <v>174</v>
      </c>
      <c r="C10" s="23"/>
      <c r="D10" s="117"/>
      <c r="E10" s="119"/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0"/>
  <sheetViews>
    <sheetView workbookViewId="0">
      <selection activeCell="B10" sqref="B10"/>
    </sheetView>
  </sheetViews>
  <sheetFormatPr defaultRowHeight="16.2" x14ac:dyDescent="0.3"/>
  <cols>
    <col min="2" max="2" width="18.44140625" customWidth="1"/>
    <col min="3" max="3" width="10" customWidth="1"/>
    <col min="4" max="4" width="11" customWidth="1"/>
    <col min="5" max="5" width="6.21875" customWidth="1"/>
  </cols>
  <sheetData>
    <row r="2" spans="2:5" x14ac:dyDescent="0.3">
      <c r="B2" s="24" t="s">
        <v>176</v>
      </c>
      <c r="C2" s="18"/>
      <c r="D2" s="18"/>
      <c r="E2" s="18"/>
    </row>
    <row r="3" spans="2:5" x14ac:dyDescent="0.3">
      <c r="B3" s="24" t="s">
        <v>217</v>
      </c>
      <c r="C3" s="18"/>
      <c r="D3" s="18"/>
      <c r="E3" s="18"/>
    </row>
    <row r="4" spans="2:5" x14ac:dyDescent="0.3">
      <c r="B4" s="98" t="s">
        <v>177</v>
      </c>
      <c r="C4" s="110">
        <v>9</v>
      </c>
    </row>
    <row r="5" spans="2:5" x14ac:dyDescent="0.3">
      <c r="B5" s="98" t="s">
        <v>178</v>
      </c>
      <c r="C5" s="120" t="s">
        <v>179</v>
      </c>
    </row>
    <row r="7" spans="2:5" x14ac:dyDescent="0.3">
      <c r="B7" s="100" t="s">
        <v>170</v>
      </c>
      <c r="C7" s="101"/>
      <c r="D7" s="102" t="s">
        <v>171</v>
      </c>
      <c r="E7" s="103"/>
    </row>
    <row r="8" spans="2:5" x14ac:dyDescent="0.3">
      <c r="B8" s="104" t="s">
        <v>172</v>
      </c>
      <c r="C8" s="105" t="s">
        <v>173</v>
      </c>
      <c r="D8" s="109" t="s">
        <v>181</v>
      </c>
      <c r="E8" s="109" t="s">
        <v>174</v>
      </c>
    </row>
    <row r="9" spans="2:5" x14ac:dyDescent="0.3">
      <c r="B9" s="42" t="s">
        <v>183</v>
      </c>
      <c r="C9" s="107" t="s">
        <v>184</v>
      </c>
      <c r="D9" s="111"/>
      <c r="E9" s="113"/>
    </row>
    <row r="10" spans="2:5" x14ac:dyDescent="0.3">
      <c r="B10" s="22" t="s">
        <v>174</v>
      </c>
      <c r="C10" s="23"/>
      <c r="D10" s="117"/>
      <c r="E10" s="119"/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0"/>
  <sheetViews>
    <sheetView workbookViewId="0">
      <selection activeCell="B3" sqref="B3"/>
    </sheetView>
  </sheetViews>
  <sheetFormatPr defaultRowHeight="16.2" x14ac:dyDescent="0.3"/>
  <cols>
    <col min="2" max="2" width="18.44140625" customWidth="1"/>
    <col min="3" max="3" width="10" customWidth="1"/>
    <col min="4" max="4" width="11" customWidth="1"/>
    <col min="5" max="5" width="7.77734375" customWidth="1"/>
    <col min="6" max="6" width="11" customWidth="1"/>
    <col min="7" max="7" width="6.21875" customWidth="1"/>
    <col min="8" max="8" width="10.33203125" customWidth="1"/>
  </cols>
  <sheetData>
    <row r="1" spans="2:7" x14ac:dyDescent="0.3">
      <c r="B1" s="24" t="s">
        <v>176</v>
      </c>
      <c r="C1" s="18"/>
      <c r="D1" s="18"/>
      <c r="E1" s="18"/>
    </row>
    <row r="2" spans="2:7" x14ac:dyDescent="0.3">
      <c r="B2" s="24" t="s">
        <v>217</v>
      </c>
      <c r="C2" s="18"/>
      <c r="D2" s="18"/>
      <c r="E2" s="18"/>
    </row>
    <row r="3" spans="2:7" x14ac:dyDescent="0.3">
      <c r="B3" s="98" t="s">
        <v>177</v>
      </c>
      <c r="C3" s="110">
        <v>10</v>
      </c>
    </row>
    <row r="4" spans="2:7" x14ac:dyDescent="0.3">
      <c r="B4" s="98" t="s">
        <v>178</v>
      </c>
      <c r="C4" s="120" t="s">
        <v>179</v>
      </c>
    </row>
    <row r="6" spans="2:7" x14ac:dyDescent="0.3">
      <c r="B6" s="100" t="s">
        <v>170</v>
      </c>
      <c r="C6" s="101"/>
      <c r="D6" s="102" t="s">
        <v>171</v>
      </c>
      <c r="E6" s="101"/>
      <c r="F6" s="101"/>
      <c r="G6" s="103"/>
    </row>
    <row r="7" spans="2:7" x14ac:dyDescent="0.3">
      <c r="B7" s="104" t="s">
        <v>172</v>
      </c>
      <c r="C7" s="105" t="s">
        <v>173</v>
      </c>
      <c r="D7" s="108" t="s">
        <v>181</v>
      </c>
      <c r="E7" s="122" t="s">
        <v>183</v>
      </c>
      <c r="F7" s="99" t="s">
        <v>182</v>
      </c>
      <c r="G7" s="109" t="s">
        <v>174</v>
      </c>
    </row>
    <row r="8" spans="2:7" x14ac:dyDescent="0.3">
      <c r="B8" s="121" t="s">
        <v>183</v>
      </c>
      <c r="C8" s="107" t="s">
        <v>184</v>
      </c>
      <c r="D8" s="111"/>
      <c r="E8" s="112"/>
      <c r="F8" s="112"/>
      <c r="G8" s="113"/>
    </row>
    <row r="9" spans="2:7" x14ac:dyDescent="0.3">
      <c r="B9" s="123"/>
      <c r="C9" s="107" t="s">
        <v>183</v>
      </c>
      <c r="D9" s="114"/>
      <c r="E9" s="115"/>
      <c r="F9" s="115"/>
      <c r="G9" s="116"/>
    </row>
    <row r="10" spans="2:7" x14ac:dyDescent="0.3">
      <c r="B10" s="22" t="s">
        <v>174</v>
      </c>
      <c r="C10" s="23"/>
      <c r="D10" s="117"/>
      <c r="E10" s="118"/>
      <c r="F10" s="118"/>
      <c r="G10" s="119"/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9"/>
  <sheetViews>
    <sheetView workbookViewId="0">
      <selection activeCell="B3" sqref="B3"/>
    </sheetView>
  </sheetViews>
  <sheetFormatPr defaultRowHeight="16.2" x14ac:dyDescent="0.3"/>
  <cols>
    <col min="2" max="2" width="18.44140625" customWidth="1"/>
    <col min="3" max="3" width="10" customWidth="1"/>
    <col min="4" max="4" width="11" customWidth="1"/>
    <col min="5" max="5" width="6.21875" customWidth="1"/>
  </cols>
  <sheetData>
    <row r="1" spans="2:5" x14ac:dyDescent="0.3">
      <c r="B1" s="24" t="s">
        <v>176</v>
      </c>
      <c r="C1" s="18"/>
      <c r="D1" s="18"/>
      <c r="E1" s="18"/>
    </row>
    <row r="2" spans="2:5" x14ac:dyDescent="0.3">
      <c r="B2" s="24" t="s">
        <v>217</v>
      </c>
      <c r="C2" s="18"/>
      <c r="D2" s="18"/>
      <c r="E2" s="18"/>
    </row>
    <row r="3" spans="2:5" x14ac:dyDescent="0.3">
      <c r="B3" s="98" t="s">
        <v>177</v>
      </c>
      <c r="C3" s="110">
        <v>11</v>
      </c>
    </row>
    <row r="4" spans="2:5" x14ac:dyDescent="0.3">
      <c r="B4" s="98" t="s">
        <v>178</v>
      </c>
      <c r="C4" s="120" t="s">
        <v>179</v>
      </c>
    </row>
    <row r="6" spans="2:5" x14ac:dyDescent="0.3">
      <c r="B6" s="100" t="s">
        <v>170</v>
      </c>
      <c r="C6" s="101"/>
      <c r="D6" s="102" t="s">
        <v>171</v>
      </c>
      <c r="E6" s="103"/>
    </row>
    <row r="7" spans="2:5" x14ac:dyDescent="0.3">
      <c r="B7" s="104" t="s">
        <v>172</v>
      </c>
      <c r="C7" s="105" t="s">
        <v>173</v>
      </c>
      <c r="D7" s="109" t="s">
        <v>181</v>
      </c>
      <c r="E7" s="109" t="s">
        <v>174</v>
      </c>
    </row>
    <row r="8" spans="2:5" x14ac:dyDescent="0.3">
      <c r="B8" s="42" t="s">
        <v>183</v>
      </c>
      <c r="C8" s="107" t="s">
        <v>184</v>
      </c>
      <c r="D8" s="111"/>
      <c r="E8" s="113"/>
    </row>
    <row r="9" spans="2:5" x14ac:dyDescent="0.3">
      <c r="B9" s="22" t="s">
        <v>174</v>
      </c>
      <c r="C9" s="23"/>
      <c r="D9" s="117"/>
      <c r="E9" s="119"/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9"/>
  <sheetViews>
    <sheetView workbookViewId="0">
      <selection activeCell="B3" sqref="B3"/>
    </sheetView>
  </sheetViews>
  <sheetFormatPr defaultRowHeight="16.2" x14ac:dyDescent="0.3"/>
  <cols>
    <col min="2" max="2" width="18.44140625" customWidth="1"/>
    <col min="3" max="3" width="10" customWidth="1"/>
    <col min="4" max="4" width="11" customWidth="1"/>
    <col min="5" max="5" width="6.21875" customWidth="1"/>
  </cols>
  <sheetData>
    <row r="1" spans="2:5" x14ac:dyDescent="0.3">
      <c r="B1" s="24" t="s">
        <v>176</v>
      </c>
      <c r="C1" s="18"/>
      <c r="D1" s="18"/>
      <c r="E1" s="18"/>
    </row>
    <row r="2" spans="2:5" x14ac:dyDescent="0.3">
      <c r="B2" s="24" t="s">
        <v>217</v>
      </c>
      <c r="C2" s="18"/>
      <c r="D2" s="18"/>
      <c r="E2" s="18"/>
    </row>
    <row r="3" spans="2:5" x14ac:dyDescent="0.3">
      <c r="B3" s="98" t="s">
        <v>177</v>
      </c>
      <c r="C3" s="110">
        <v>12</v>
      </c>
    </row>
    <row r="4" spans="2:5" x14ac:dyDescent="0.3">
      <c r="B4" s="98" t="s">
        <v>178</v>
      </c>
      <c r="C4" s="120" t="s">
        <v>179</v>
      </c>
    </row>
    <row r="6" spans="2:5" x14ac:dyDescent="0.3">
      <c r="B6" s="100" t="s">
        <v>170</v>
      </c>
      <c r="C6" s="101"/>
      <c r="D6" s="102" t="s">
        <v>171</v>
      </c>
      <c r="E6" s="103"/>
    </row>
    <row r="7" spans="2:5" x14ac:dyDescent="0.3">
      <c r="B7" s="104" t="s">
        <v>172</v>
      </c>
      <c r="C7" s="105" t="s">
        <v>173</v>
      </c>
      <c r="D7" s="109" t="s">
        <v>181</v>
      </c>
      <c r="E7" s="109" t="s">
        <v>174</v>
      </c>
    </row>
    <row r="8" spans="2:5" x14ac:dyDescent="0.3">
      <c r="B8" s="42" t="s">
        <v>183</v>
      </c>
      <c r="C8" s="107" t="s">
        <v>184</v>
      </c>
      <c r="D8" s="111"/>
      <c r="E8" s="113"/>
    </row>
    <row r="9" spans="2:5" x14ac:dyDescent="0.3">
      <c r="B9" s="22" t="s">
        <v>174</v>
      </c>
      <c r="C9" s="23"/>
      <c r="D9" s="117"/>
      <c r="E9" s="119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奉獻明細</vt:lpstr>
      <vt:lpstr>姓名檔</vt:lpstr>
      <vt:lpstr>各月累計</vt:lpstr>
      <vt:lpstr>樞紐分析</vt:lpstr>
      <vt:lpstr>一月份</vt:lpstr>
      <vt:lpstr>二月份</vt:lpstr>
      <vt:lpstr>三月份</vt:lpstr>
      <vt:lpstr>四月份</vt:lpstr>
      <vt:lpstr>五月份</vt:lpstr>
      <vt:lpstr>六月份</vt:lpstr>
      <vt:lpstr>七月份</vt:lpstr>
      <vt:lpstr>八月份</vt:lpstr>
      <vt:lpstr>九月份</vt:lpstr>
      <vt:lpstr>十月份</vt:lpstr>
      <vt:lpstr>十一月份</vt:lpstr>
      <vt:lpstr>十二月份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USER</cp:lastModifiedBy>
  <cp:revision/>
  <dcterms:created xsi:type="dcterms:W3CDTF">2023-02-17T03:40:10Z</dcterms:created>
  <dcterms:modified xsi:type="dcterms:W3CDTF">2026-07-15T00:50:52Z</dcterms:modified>
  <cp:category/>
  <cp:contentStatus/>
</cp:coreProperties>
</file>