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Users\USERX\Desktop\信望愛\2026信望愛\"/>
    </mc:Choice>
  </mc:AlternateContent>
  <bookViews>
    <workbookView xWindow="-120" yWindow="-120" windowWidth="29040" windowHeight="15720" activeTab="1"/>
  </bookViews>
  <sheets>
    <sheet name="支出明細" sheetId="1" r:id="rId1"/>
    <sheet name="樞紐分析表" sheetId="14" r:id="rId2"/>
    <sheet name="code" sheetId="6" r:id="rId3"/>
    <sheet name="各月累計支出" sheetId="12" r:id="rId4"/>
    <sheet name="Memo" sheetId="8" r:id="rId5"/>
  </sheets>
  <definedNames>
    <definedName name="_xlnm._FilterDatabase" localSheetId="0" hidden="1">支出明細!$A$2:$I$179</definedName>
  </definedNames>
  <calcPr calcId="152511"/>
  <pivotCaches>
    <pivotCache cacheId="6" r:id="rId6"/>
    <pivotCache cacheId="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  <c r="J31" i="1" l="1"/>
  <c r="J27" i="1" l="1"/>
  <c r="J19" i="1" l="1"/>
  <c r="J9" i="1" l="1"/>
  <c r="J5" i="1" l="1"/>
  <c r="B180" i="1"/>
  <c r="D180" i="1"/>
  <c r="B181" i="1"/>
  <c r="D181" i="1"/>
  <c r="B182" i="1"/>
  <c r="D182" i="1"/>
  <c r="B183" i="1"/>
  <c r="D183" i="1"/>
  <c r="B184" i="1"/>
  <c r="D184" i="1"/>
  <c r="B8" i="1"/>
  <c r="D8" i="1"/>
  <c r="B9" i="1"/>
  <c r="D9" i="1"/>
  <c r="B10" i="1"/>
  <c r="D10" i="1"/>
  <c r="B11" i="1"/>
  <c r="D11" i="1"/>
  <c r="B12" i="1"/>
  <c r="D12" i="1"/>
  <c r="B13" i="1"/>
  <c r="D13" i="1"/>
  <c r="B14" i="1"/>
  <c r="D14" i="1"/>
  <c r="B15" i="1"/>
  <c r="D15" i="1"/>
  <c r="B16" i="1"/>
  <c r="D16" i="1"/>
  <c r="B17" i="1"/>
  <c r="D17" i="1"/>
  <c r="B18" i="1"/>
  <c r="D18" i="1"/>
  <c r="B19" i="1"/>
  <c r="D19" i="1"/>
  <c r="B20" i="1"/>
  <c r="D20" i="1"/>
  <c r="B21" i="1"/>
  <c r="D21" i="1"/>
  <c r="B22" i="1"/>
  <c r="D22" i="1"/>
  <c r="B23" i="1"/>
  <c r="D23" i="1"/>
  <c r="B24" i="1"/>
  <c r="D24" i="1"/>
  <c r="B25" i="1"/>
  <c r="D25" i="1"/>
  <c r="D130" i="1" l="1"/>
  <c r="B130" i="1"/>
  <c r="D131" i="1"/>
  <c r="B131" i="1"/>
  <c r="D29" i="1" l="1"/>
  <c r="B29" i="1"/>
  <c r="D28" i="1"/>
  <c r="B28" i="1"/>
  <c r="D33" i="1"/>
  <c r="B33" i="1"/>
  <c r="D35" i="1"/>
  <c r="B35" i="1"/>
  <c r="D37" i="1"/>
  <c r="B37" i="1"/>
  <c r="D36" i="1"/>
  <c r="B36" i="1"/>
  <c r="D5" i="1" l="1"/>
  <c r="D6" i="1"/>
  <c r="D118" i="1" l="1"/>
  <c r="B118" i="1"/>
  <c r="D117" i="1"/>
  <c r="B117" i="1"/>
  <c r="D116" i="1"/>
  <c r="B116" i="1"/>
  <c r="D115" i="1"/>
  <c r="B115" i="1"/>
  <c r="D114" i="1"/>
  <c r="B114" i="1"/>
  <c r="D113" i="1"/>
  <c r="B113" i="1"/>
  <c r="D112" i="1"/>
  <c r="B112" i="1"/>
  <c r="D111" i="1"/>
  <c r="B111" i="1"/>
  <c r="B5" i="1" l="1"/>
  <c r="B49" i="1" l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47" i="1"/>
  <c r="B48" i="1"/>
  <c r="D47" i="1"/>
  <c r="D48" i="1"/>
  <c r="D49" i="1"/>
  <c r="D50" i="1"/>
  <c r="D46" i="1" l="1"/>
  <c r="D45" i="1"/>
  <c r="D44" i="1"/>
  <c r="B46" i="1"/>
  <c r="B45" i="1"/>
  <c r="B44" i="1"/>
  <c r="D71" i="1" l="1"/>
  <c r="D66" i="1" l="1"/>
  <c r="B3" i="1" l="1"/>
  <c r="B4" i="1"/>
  <c r="B6" i="1"/>
  <c r="B7" i="1"/>
  <c r="B26" i="1"/>
  <c r="B27" i="1"/>
  <c r="B30" i="1"/>
  <c r="B31" i="1"/>
  <c r="B32" i="1"/>
  <c r="B34" i="1"/>
  <c r="B38" i="1"/>
  <c r="B39" i="1"/>
  <c r="B40" i="1"/>
  <c r="B41" i="1"/>
  <c r="B42" i="1"/>
  <c r="B43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9" i="1"/>
  <c r="B120" i="1"/>
  <c r="B121" i="1"/>
  <c r="B122" i="1"/>
  <c r="B123" i="1"/>
  <c r="B124" i="1"/>
  <c r="B125" i="1"/>
  <c r="B126" i="1"/>
  <c r="B127" i="1"/>
  <c r="B128" i="1"/>
  <c r="B129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D4" i="1" l="1"/>
  <c r="D7" i="1"/>
  <c r="D26" i="1"/>
  <c r="D27" i="1"/>
  <c r="D30" i="1"/>
  <c r="D31" i="1"/>
  <c r="D32" i="1"/>
  <c r="D34" i="1"/>
  <c r="D38" i="1"/>
  <c r="D39" i="1"/>
  <c r="D40" i="1"/>
  <c r="D41" i="1"/>
  <c r="D42" i="1"/>
  <c r="D43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7" i="1"/>
  <c r="D68" i="1"/>
  <c r="D69" i="1"/>
  <c r="D70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9" i="1"/>
  <c r="D120" i="1"/>
  <c r="D121" i="1"/>
  <c r="D122" i="1"/>
  <c r="D123" i="1"/>
  <c r="D124" i="1"/>
  <c r="D125" i="1"/>
  <c r="D126" i="1"/>
  <c r="D127" i="1"/>
  <c r="D128" i="1"/>
  <c r="D129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3" i="1"/>
  <c r="E130" i="6"/>
  <c r="D130" i="6"/>
  <c r="C130" i="6"/>
  <c r="E118" i="6"/>
  <c r="D118" i="6"/>
  <c r="C118" i="6"/>
  <c r="E105" i="6"/>
  <c r="D105" i="6"/>
  <c r="C105" i="6"/>
  <c r="E92" i="6"/>
  <c r="D92" i="6"/>
  <c r="C92" i="6"/>
  <c r="E79" i="6"/>
  <c r="D79" i="6"/>
  <c r="C79" i="6"/>
  <c r="E66" i="6"/>
  <c r="D66" i="6"/>
  <c r="C66" i="6"/>
  <c r="E53" i="6"/>
  <c r="D53" i="6"/>
  <c r="C53" i="6"/>
  <c r="E40" i="6"/>
  <c r="D40" i="6"/>
  <c r="C40" i="6"/>
  <c r="E27" i="6"/>
  <c r="D27" i="6"/>
  <c r="C27" i="6"/>
  <c r="E14" i="6"/>
  <c r="D14" i="6"/>
  <c r="C14" i="6"/>
  <c r="C136" i="6" l="1"/>
  <c r="D136" i="6"/>
  <c r="E136" i="6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</calcChain>
</file>

<file path=xl/sharedStrings.xml><?xml version="1.0" encoding="utf-8"?>
<sst xmlns="http://schemas.openxmlformats.org/spreadsheetml/2006/main" count="382" uniqueCount="272">
  <si>
    <t>Date</t>
    <phoneticPr fontId="4" type="noConversion"/>
  </si>
  <si>
    <t>Month</t>
    <phoneticPr fontId="4" type="noConversion"/>
  </si>
  <si>
    <t>code</t>
    <phoneticPr fontId="4" type="noConversion"/>
  </si>
  <si>
    <t>Description</t>
    <phoneticPr fontId="4" type="noConversion"/>
  </si>
  <si>
    <t>Amount</t>
    <phoneticPr fontId="4" type="noConversion"/>
  </si>
  <si>
    <t>C170</t>
  </si>
  <si>
    <t>E170</t>
  </si>
  <si>
    <t>S160</t>
  </si>
  <si>
    <t>S190</t>
  </si>
  <si>
    <t>A160</t>
  </si>
  <si>
    <t>A180</t>
  </si>
  <si>
    <t>E160</t>
  </si>
  <si>
    <t>A120</t>
  </si>
  <si>
    <t>F100</t>
  </si>
  <si>
    <t>A150</t>
  </si>
  <si>
    <t>C160</t>
  </si>
  <si>
    <t>C190</t>
  </si>
  <si>
    <t>A110</t>
  </si>
  <si>
    <t>S150</t>
  </si>
  <si>
    <t>E150</t>
  </si>
  <si>
    <t>A190</t>
  </si>
  <si>
    <t>S140</t>
  </si>
  <si>
    <t>M190</t>
  </si>
  <si>
    <t>M180</t>
  </si>
  <si>
    <t>F190</t>
  </si>
  <si>
    <t>E190</t>
  </si>
  <si>
    <t>S180</t>
  </si>
  <si>
    <t>S100</t>
  </si>
  <si>
    <t>M170</t>
  </si>
  <si>
    <t>Benefits(Housing Allowance, Health Insurance, etc)</t>
  </si>
  <si>
    <t>Special Events-Honorarium Fee, Equipment, Supplies</t>
  </si>
  <si>
    <t>Utilities/Electricity, Gas, Water, Telephone</t>
  </si>
  <si>
    <t>Website</t>
  </si>
  <si>
    <t>Payroll</t>
  </si>
  <si>
    <t>Trainings &amp; Meetings</t>
  </si>
  <si>
    <t>Youth Group-Equipment, Supplies, Expenses</t>
  </si>
  <si>
    <t>Maintenance/Cleaning</t>
  </si>
  <si>
    <t>Community Service-Seminar, Activity, Funeral, Wedding</t>
  </si>
  <si>
    <t xml:space="preserve">Supplies/Utensil, </t>
  </si>
  <si>
    <t>Sunday Services-Honorarium Fee, Equipment, Supplies</t>
  </si>
  <si>
    <t xml:space="preserve">Tax </t>
  </si>
  <si>
    <t>Facilities</t>
  </si>
  <si>
    <t>Foreign Missions-Equipment, Supplies, Expenses</t>
  </si>
  <si>
    <t>Worship-Equipment, Supplies, Expenses</t>
  </si>
  <si>
    <t>Equipment/Hardware, software</t>
  </si>
  <si>
    <t>Domestic Missions-Equipment, Supplies, Expenses</t>
  </si>
  <si>
    <t>Description</t>
  </si>
  <si>
    <t>加總 - Amount</t>
  </si>
  <si>
    <t>co</t>
    <phoneticPr fontId="4" type="noConversion"/>
  </si>
  <si>
    <t>Remark</t>
  </si>
  <si>
    <t>A10-</t>
  </si>
  <si>
    <t>Administration, Maintenance, Facility, Office Expenses, Building Fund 行政、總務、堂務、辦公室、雜支、網站、視音</t>
  </si>
  <si>
    <t>A100</t>
  </si>
  <si>
    <t>Equipment/Hardware, Software</t>
  </si>
  <si>
    <t>Asset</t>
  </si>
  <si>
    <t>A130</t>
  </si>
  <si>
    <t>Business Travels &amp; Expenses</t>
  </si>
  <si>
    <t>A140</t>
  </si>
  <si>
    <t>A170</t>
  </si>
  <si>
    <t>Security/Safety</t>
  </si>
  <si>
    <t>Miscellaneous/Gifts, Meals, Refreshments, Postage</t>
    <phoneticPr fontId="4" type="noConversion"/>
  </si>
  <si>
    <t>Total</t>
  </si>
  <si>
    <t>C10-</t>
  </si>
  <si>
    <t>Community Service, Holiday Celebration, Mercy Act 社區關懷、慈惠救助、慈惠基金、關訪交通及慶典活動</t>
  </si>
  <si>
    <t>C100</t>
  </si>
  <si>
    <t>C110</t>
  </si>
  <si>
    <t>Supplies</t>
  </si>
  <si>
    <t>C120</t>
  </si>
  <si>
    <t>C130</t>
  </si>
  <si>
    <t>C140</t>
  </si>
  <si>
    <t>C150</t>
  </si>
  <si>
    <t>Transportation/Payment, Gas, Maintenance, Insurance</t>
  </si>
  <si>
    <t>Mercy Fund</t>
    <phoneticPr fontId="4" type="noConversion"/>
  </si>
  <si>
    <t>C180</t>
  </si>
  <si>
    <t>Promotional/Ad, Sign, Tape, CD, DVD, Stripe, Bible</t>
  </si>
  <si>
    <t>E10-</t>
  </si>
  <si>
    <t>E100</t>
  </si>
  <si>
    <t>E110</t>
  </si>
  <si>
    <t>E120</t>
  </si>
  <si>
    <t>E130</t>
  </si>
  <si>
    <t>E140</t>
  </si>
  <si>
    <t>Church Planting</t>
  </si>
  <si>
    <t xml:space="preserve"> </t>
  </si>
  <si>
    <t>E180</t>
  </si>
  <si>
    <t xml:space="preserve">Licensing, Insurance, Worker Comp, </t>
  </si>
  <si>
    <t>Miscellaneous/Gifts, Meals, Refreshments, Postage</t>
    <phoneticPr fontId="4" type="noConversion"/>
  </si>
  <si>
    <t>F10-</t>
  </si>
  <si>
    <t>Functional District 功能性小組</t>
  </si>
  <si>
    <t>F110</t>
  </si>
  <si>
    <t>Caleb Group-Equipment, Supplies, Expenses</t>
  </si>
  <si>
    <t>F120</t>
  </si>
  <si>
    <t>Sister Sammamish Group-Equipment, Supplies, Expenses</t>
  </si>
  <si>
    <t>F130</t>
  </si>
  <si>
    <t>Sister Issaquah Group-Equipment, Supplies, Expenses</t>
  </si>
  <si>
    <t>F140</t>
  </si>
  <si>
    <t>Cantonese Group-Equipment, Supplies, Expenses</t>
  </si>
  <si>
    <t>F150</t>
  </si>
  <si>
    <t>English Group-Equipment, Supplies, Expenses</t>
  </si>
  <si>
    <t>F160</t>
  </si>
  <si>
    <t>Brother Group-Equipment, Supplies, Expenses</t>
  </si>
  <si>
    <t>F170</t>
  </si>
  <si>
    <t>Young Professional Group-Equipment, Supplies, Expenses</t>
  </si>
  <si>
    <t>F180</t>
  </si>
  <si>
    <t>Special Group-Equipment, Supplies, Expenses</t>
  </si>
  <si>
    <t>G10-</t>
  </si>
  <si>
    <t>Geogriphic Group 區域性小組</t>
  </si>
  <si>
    <t>G100</t>
  </si>
  <si>
    <t>Sammamish Group-Equipment, Supplies, Expenses</t>
  </si>
  <si>
    <t>G110</t>
  </si>
  <si>
    <t>Issaquah Group-Equipment, Supplies, Expenses</t>
  </si>
  <si>
    <t>G120</t>
  </si>
  <si>
    <t>Klahanie-Equipment, Supplies, Expenses</t>
  </si>
  <si>
    <t>G130</t>
  </si>
  <si>
    <t>Trossachs Group-Equipment, Supplies, Expenses</t>
  </si>
  <si>
    <t>G140</t>
  </si>
  <si>
    <t>G150</t>
  </si>
  <si>
    <t>G160</t>
  </si>
  <si>
    <t>G170</t>
  </si>
  <si>
    <t>G180</t>
  </si>
  <si>
    <t>G190</t>
  </si>
  <si>
    <t>L10-</t>
  </si>
  <si>
    <t>Library, Publication, Recording &amp; Duplication, Other Fund 圖書、視音錄製與複製、週報、其他基金、刊物、名冊</t>
  </si>
  <si>
    <t>L100</t>
  </si>
  <si>
    <t>L110</t>
  </si>
  <si>
    <t>L120</t>
  </si>
  <si>
    <t>L130</t>
  </si>
  <si>
    <t>L140</t>
  </si>
  <si>
    <t>Ministry Support</t>
  </si>
  <si>
    <t>L150</t>
  </si>
  <si>
    <t>Books, Stripes &amp; Subscriptions</t>
  </si>
  <si>
    <t>L160</t>
  </si>
  <si>
    <t>Audio Tapes/CDs</t>
  </si>
  <si>
    <t>L170</t>
  </si>
  <si>
    <t>Video Tapes/CDs</t>
  </si>
  <si>
    <t>L180</t>
  </si>
  <si>
    <t>Publishing, Bulletin, Posters, Flyers, Copies</t>
  </si>
  <si>
    <t>L190</t>
  </si>
  <si>
    <t>M10-</t>
  </si>
  <si>
    <t>Mission/Outreach Fund &amp; Activities 宣教差傳、宣教基金、外展活動</t>
  </si>
  <si>
    <t>M100</t>
  </si>
  <si>
    <t>M110</t>
  </si>
  <si>
    <t>M120</t>
  </si>
  <si>
    <t>M130</t>
  </si>
  <si>
    <t>M140</t>
  </si>
  <si>
    <t>M150</t>
  </si>
  <si>
    <t>Outreach-Equipment, Supplies, Expenses</t>
  </si>
  <si>
    <t>M160</t>
  </si>
  <si>
    <t>Benevolence Fee</t>
  </si>
  <si>
    <t>S10-</t>
  </si>
  <si>
    <t>Sunday Service, Special Event, Worship, Sacraments 主日聚會、特會、敬拜讚美、擘餅及聖禮、茶點飯食</t>
  </si>
  <si>
    <t>S110</t>
  </si>
  <si>
    <t>S120</t>
  </si>
  <si>
    <t>S130</t>
  </si>
  <si>
    <t>S170</t>
  </si>
  <si>
    <t>Sacraments-Communion, Baptism, Equipment, Supplies</t>
  </si>
  <si>
    <t>T10-</t>
  </si>
  <si>
    <t>Teaching, Sunday Schools, Trainings, Ministr, Retreats 主日學、裝備、訓練、陪靈退修會、事工</t>
  </si>
  <si>
    <t>T100</t>
  </si>
  <si>
    <t>T110</t>
  </si>
  <si>
    <t>T120</t>
  </si>
  <si>
    <t>T130</t>
  </si>
  <si>
    <t>T140</t>
  </si>
  <si>
    <t>Sunday Schools-Equipment, Supplies, Expenses</t>
  </si>
  <si>
    <t>T150</t>
  </si>
  <si>
    <t>Children Ministry-Equipment, Supplies, Expenses</t>
  </si>
  <si>
    <t>T160</t>
  </si>
  <si>
    <t>Youth Ministry-Equipment, Supplies, Expenses</t>
  </si>
  <si>
    <t>T170</t>
  </si>
  <si>
    <t>Special Ministry-Equipment, Supplies, Expenses</t>
  </si>
  <si>
    <t>T180</t>
  </si>
  <si>
    <t>Retreats-Equipment, Supplies, Expenses</t>
  </si>
  <si>
    <t>T190</t>
  </si>
  <si>
    <t>X10-</t>
  </si>
  <si>
    <t>X100</t>
  </si>
  <si>
    <t>X110</t>
  </si>
  <si>
    <t>X120</t>
  </si>
  <si>
    <t>X130</t>
  </si>
  <si>
    <t>X140</t>
  </si>
  <si>
    <t>X150</t>
  </si>
  <si>
    <t>X160</t>
  </si>
  <si>
    <t>X170</t>
  </si>
  <si>
    <t>X180</t>
  </si>
  <si>
    <t>X190</t>
  </si>
  <si>
    <t>Grand Total</t>
  </si>
  <si>
    <r>
      <t xml:space="preserve">Ministry, Finance, Payroll, Benefit, License, Insurance </t>
    </r>
    <r>
      <rPr>
        <b/>
        <sz val="10"/>
        <color indexed="10"/>
        <rFont val="細明體"/>
        <family val="3"/>
        <charset val="136"/>
      </rPr>
      <t>事工需要、財務稅務、薪資福利、執照保險</t>
    </r>
    <phoneticPr fontId="3" type="noConversion"/>
  </si>
  <si>
    <t>西雅圖信望愛靈糧堂支出明細(A/C #2228316051)</t>
    <phoneticPr fontId="4" type="noConversion"/>
  </si>
  <si>
    <t>AP</t>
    <phoneticPr fontId="3" type="noConversion"/>
  </si>
  <si>
    <t>欄位設定</t>
    <phoneticPr fontId="3" type="noConversion"/>
  </si>
  <si>
    <t>版面配置與列印</t>
    <phoneticPr fontId="3" type="noConversion"/>
  </si>
  <si>
    <t>Accounts Payable</t>
    <phoneticPr fontId="4" type="noConversion"/>
  </si>
  <si>
    <t>欄標籤</t>
  </si>
  <si>
    <t>列標籤</t>
  </si>
  <si>
    <t>總計</t>
  </si>
  <si>
    <t>AR</t>
    <phoneticPr fontId="3" type="noConversion"/>
  </si>
  <si>
    <t>Accounts Receivable</t>
    <phoneticPr fontId="4" type="noConversion"/>
  </si>
  <si>
    <t>TD</t>
    <phoneticPr fontId="3" type="noConversion"/>
  </si>
  <si>
    <t>Time Deposit</t>
    <phoneticPr fontId="3" type="noConversion"/>
  </si>
  <si>
    <t>Memo1</t>
    <phoneticPr fontId="4" type="noConversion"/>
  </si>
  <si>
    <t>取消"小計"</t>
    <phoneticPr fontId="3" type="noConversion"/>
  </si>
  <si>
    <t>Mark Code 及 Description</t>
    <phoneticPr fontId="3" type="noConversion"/>
  </si>
  <si>
    <t>右鍵</t>
    <phoneticPr fontId="3" type="noConversion"/>
  </si>
  <si>
    <t>以列表方式顯示項目標籤</t>
    <phoneticPr fontId="3" type="noConversion"/>
  </si>
  <si>
    <t>備註</t>
    <phoneticPr fontId="4" type="noConversion"/>
  </si>
  <si>
    <t>小計</t>
    <phoneticPr fontId="4" type="noConversion"/>
  </si>
  <si>
    <t>一月份</t>
    <phoneticPr fontId="3" type="noConversion"/>
  </si>
  <si>
    <t>二月份</t>
    <phoneticPr fontId="3" type="noConversion"/>
  </si>
  <si>
    <t>三月份</t>
    <phoneticPr fontId="3" type="noConversion"/>
  </si>
  <si>
    <t>四月份</t>
    <phoneticPr fontId="3" type="noConversion"/>
  </si>
  <si>
    <t>五月份</t>
    <phoneticPr fontId="3" type="noConversion"/>
  </si>
  <si>
    <t>六月份</t>
    <phoneticPr fontId="3" type="noConversion"/>
  </si>
  <si>
    <t>七月份</t>
    <phoneticPr fontId="3" type="noConversion"/>
  </si>
  <si>
    <t>八月份</t>
    <phoneticPr fontId="3" type="noConversion"/>
  </si>
  <si>
    <t>九月份</t>
    <phoneticPr fontId="3" type="noConversion"/>
  </si>
  <si>
    <t>十月份</t>
    <phoneticPr fontId="3" type="noConversion"/>
  </si>
  <si>
    <t>十月份實際支出</t>
    <phoneticPr fontId="3" type="noConversion"/>
  </si>
  <si>
    <t>$16625.85與BK Stmt相符</t>
    <phoneticPr fontId="3" type="noConversion"/>
  </si>
  <si>
    <t>但有收到美沂還款$2500</t>
    <phoneticPr fontId="3" type="noConversion"/>
  </si>
  <si>
    <t>十一月份</t>
    <phoneticPr fontId="3" type="noConversion"/>
  </si>
  <si>
    <t>2026信望愛各月份 支出彙總</t>
  </si>
  <si>
    <t xml:space="preserve">          </t>
    <phoneticPr fontId="4" type="noConversion"/>
  </si>
  <si>
    <t>E160</t>
    <phoneticPr fontId="4" type="noConversion"/>
  </si>
  <si>
    <t>A160</t>
    <phoneticPr fontId="4" type="noConversion"/>
  </si>
  <si>
    <t>Comcast</t>
    <phoneticPr fontId="4" type="noConversion"/>
  </si>
  <si>
    <t>Puget Sound</t>
    <phoneticPr fontId="4" type="noConversion"/>
  </si>
  <si>
    <t>月份總計</t>
    <phoneticPr fontId="4" type="noConversion"/>
  </si>
  <si>
    <t>Memo2</t>
    <phoneticPr fontId="4" type="noConversion"/>
  </si>
  <si>
    <t>2026年</t>
    <phoneticPr fontId="3" type="noConversion"/>
  </si>
  <si>
    <t>各月支出彙總</t>
    <phoneticPr fontId="3" type="noConversion"/>
  </si>
  <si>
    <t>E160</t>
    <phoneticPr fontId="4" type="noConversion"/>
  </si>
  <si>
    <t>A160</t>
    <phoneticPr fontId="4" type="noConversion"/>
  </si>
  <si>
    <t>City of Issaquah</t>
    <phoneticPr fontId="4" type="noConversion"/>
  </si>
  <si>
    <t>Comcast</t>
    <phoneticPr fontId="4" type="noConversion"/>
  </si>
  <si>
    <t>E160</t>
    <phoneticPr fontId="4" type="noConversion"/>
  </si>
  <si>
    <t>M190</t>
    <phoneticPr fontId="4" type="noConversion"/>
  </si>
  <si>
    <t>M110</t>
    <phoneticPr fontId="4" type="noConversion"/>
  </si>
  <si>
    <t>S150</t>
    <phoneticPr fontId="4" type="noConversion"/>
  </si>
  <si>
    <t>A160</t>
    <phoneticPr fontId="4" type="noConversion"/>
  </si>
  <si>
    <t>A140</t>
    <phoneticPr fontId="4" type="noConversion"/>
  </si>
  <si>
    <t>A160</t>
    <phoneticPr fontId="4" type="noConversion"/>
  </si>
  <si>
    <t>Puget Sound</t>
    <phoneticPr fontId="4" type="noConversion"/>
  </si>
  <si>
    <t>Miscellaneous/Gifts, Meals, Refreshments, Postage</t>
  </si>
  <si>
    <t>E160</t>
    <phoneticPr fontId="4" type="noConversion"/>
  </si>
  <si>
    <t>S190</t>
    <phoneticPr fontId="4" type="noConversion"/>
  </si>
  <si>
    <t>S150</t>
    <phoneticPr fontId="4" type="noConversion"/>
  </si>
  <si>
    <t>S150</t>
    <phoneticPr fontId="4" type="noConversion"/>
  </si>
  <si>
    <t>S190</t>
    <phoneticPr fontId="4" type="noConversion"/>
  </si>
  <si>
    <t>A160</t>
    <phoneticPr fontId="4" type="noConversion"/>
  </si>
  <si>
    <t>City of Issaquah</t>
    <phoneticPr fontId="4" type="noConversion"/>
  </si>
  <si>
    <t>Puget Sound</t>
    <phoneticPr fontId="4" type="noConversion"/>
  </si>
  <si>
    <t>Comcast</t>
    <phoneticPr fontId="4" type="noConversion"/>
  </si>
  <si>
    <t>四月份</t>
    <phoneticPr fontId="3" type="noConversion"/>
  </si>
  <si>
    <t>E160</t>
    <phoneticPr fontId="4" type="noConversion"/>
  </si>
  <si>
    <t>S190</t>
    <phoneticPr fontId="4" type="noConversion"/>
  </si>
  <si>
    <t>A160</t>
    <phoneticPr fontId="4" type="noConversion"/>
  </si>
  <si>
    <t>Check 1162</t>
    <phoneticPr fontId="4" type="noConversion"/>
  </si>
  <si>
    <t xml:space="preserve"> Check 1160</t>
    <phoneticPr fontId="4" type="noConversion"/>
  </si>
  <si>
    <t xml:space="preserve"> Check 1161</t>
    <phoneticPr fontId="4" type="noConversion"/>
  </si>
  <si>
    <t xml:space="preserve"> Check 1158 </t>
    <phoneticPr fontId="4" type="noConversion"/>
  </si>
  <si>
    <t>Check 1159</t>
    <phoneticPr fontId="4" type="noConversion"/>
  </si>
  <si>
    <t>Check 1157</t>
    <phoneticPr fontId="4" type="noConversion"/>
  </si>
  <si>
    <t>Check 1156</t>
    <phoneticPr fontId="4" type="noConversion"/>
  </si>
  <si>
    <t>Check 1151</t>
    <phoneticPr fontId="4" type="noConversion"/>
  </si>
  <si>
    <t>Check 1154</t>
    <phoneticPr fontId="4" type="noConversion"/>
  </si>
  <si>
    <t>Check 1155</t>
    <phoneticPr fontId="4" type="noConversion"/>
  </si>
  <si>
    <t>Check 1152</t>
    <phoneticPr fontId="4" type="noConversion"/>
  </si>
  <si>
    <t>Puget Sound</t>
    <phoneticPr fontId="4" type="noConversion"/>
  </si>
  <si>
    <t>Comcast</t>
    <phoneticPr fontId="4" type="noConversion"/>
  </si>
  <si>
    <t>E160</t>
    <phoneticPr fontId="4" type="noConversion"/>
  </si>
  <si>
    <t>A160</t>
    <phoneticPr fontId="4" type="noConversion"/>
  </si>
  <si>
    <t>City of Issaquah</t>
    <phoneticPr fontId="4" type="noConversion"/>
  </si>
  <si>
    <t>Puget Sound</t>
    <phoneticPr fontId="4" type="noConversion"/>
  </si>
  <si>
    <t>Cm Select Insura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</si>
</sst>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_);[Red]\(0\)"/>
    <numFmt numFmtId="177" formatCode="m&quot;月&quot;d&quot;日&quot;"/>
    <numFmt numFmtId="179" formatCode="#,##0.00_);[Red]\(#,##0.00\)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4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b/>
      <sz val="10"/>
      <name val="標楷體"/>
      <family val="4"/>
      <charset val="136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標楷體"/>
      <family val="4"/>
      <charset val="136"/>
    </font>
    <font>
      <b/>
      <sz val="10"/>
      <color indexed="20"/>
      <name val="Times New Roman"/>
      <family val="1"/>
    </font>
    <font>
      <sz val="10"/>
      <color indexed="20"/>
      <name val="Times New Roman"/>
      <family val="1"/>
    </font>
    <font>
      <b/>
      <sz val="10"/>
      <color indexed="10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0"/>
      <name val="細明體"/>
      <family val="3"/>
      <charset val="136"/>
    </font>
    <font>
      <sz val="12"/>
      <color theme="1"/>
      <name val="標楷體"/>
      <family val="4"/>
      <charset val="136"/>
    </font>
    <font>
      <i/>
      <sz val="12"/>
      <color theme="1"/>
      <name val="新細明體"/>
      <family val="1"/>
      <charset val="136"/>
      <scheme val="minor"/>
    </font>
    <font>
      <sz val="10"/>
      <color theme="4"/>
      <name val="Times New Roman"/>
      <family val="1"/>
    </font>
    <font>
      <sz val="9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name val="細明體"/>
      <family val="3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 applyAlignme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right"/>
    </xf>
    <xf numFmtId="0" fontId="9" fillId="0" borderId="7" xfId="0" applyFont="1" applyBorder="1" applyAlignment="1"/>
    <xf numFmtId="0" fontId="9" fillId="0" borderId="8" xfId="0" applyFont="1" applyBorder="1" applyAlignment="1"/>
    <xf numFmtId="0" fontId="9" fillId="0" borderId="10" xfId="0" applyFont="1" applyBorder="1" applyAlignment="1"/>
    <xf numFmtId="0" fontId="9" fillId="0" borderId="9" xfId="0" applyFont="1" applyBorder="1" applyAlignment="1"/>
    <xf numFmtId="0" fontId="10" fillId="0" borderId="0" xfId="0" applyFont="1" applyAlignment="1"/>
    <xf numFmtId="0" fontId="11" fillId="0" borderId="2" xfId="0" applyFont="1" applyBorder="1" applyAlignment="1"/>
    <xf numFmtId="0" fontId="11" fillId="0" borderId="11" xfId="0" applyFont="1" applyBorder="1" applyAlignment="1"/>
    <xf numFmtId="0" fontId="11" fillId="0" borderId="12" xfId="0" applyFont="1" applyBorder="1" applyAlignment="1"/>
    <xf numFmtId="0" fontId="11" fillId="0" borderId="13" xfId="0" applyFont="1" applyBorder="1" applyAlignment="1"/>
    <xf numFmtId="0" fontId="12" fillId="0" borderId="0" xfId="0" applyFont="1" applyAlignment="1"/>
    <xf numFmtId="0" fontId="13" fillId="0" borderId="5" xfId="0" applyFont="1" applyBorder="1" applyAlignment="1"/>
    <xf numFmtId="44" fontId="13" fillId="0" borderId="5" xfId="1" applyFont="1" applyBorder="1" applyAlignment="1"/>
    <xf numFmtId="0" fontId="13" fillId="0" borderId="0" xfId="0" applyFont="1" applyAlignment="1"/>
    <xf numFmtId="0" fontId="14" fillId="0" borderId="5" xfId="0" applyFont="1" applyBorder="1" applyAlignment="1">
      <alignment horizontal="right"/>
    </xf>
    <xf numFmtId="0" fontId="11" fillId="0" borderId="5" xfId="0" applyFont="1" applyBorder="1" applyAlignment="1"/>
    <xf numFmtId="0" fontId="11" fillId="0" borderId="6" xfId="0" applyFont="1" applyBorder="1" applyAlignment="1"/>
    <xf numFmtId="0" fontId="12" fillId="0" borderId="14" xfId="0" applyFont="1" applyBorder="1" applyAlignment="1"/>
    <xf numFmtId="0" fontId="12" fillId="0" borderId="4" xfId="0" applyFont="1" applyBorder="1" applyAlignment="1"/>
    <xf numFmtId="0" fontId="11" fillId="0" borderId="14" xfId="0" applyFont="1" applyBorder="1" applyAlignment="1"/>
    <xf numFmtId="0" fontId="11" fillId="0" borderId="4" xfId="0" applyFont="1" applyBorder="1" applyAlignment="1"/>
    <xf numFmtId="0" fontId="11" fillId="0" borderId="0" xfId="0" applyFont="1" applyAlignment="1"/>
    <xf numFmtId="0" fontId="9" fillId="0" borderId="5" xfId="0" applyFont="1" applyBorder="1" applyAlignment="1"/>
    <xf numFmtId="0" fontId="9" fillId="0" borderId="5" xfId="0" applyFont="1" applyBorder="1" applyAlignment="1">
      <alignment horizontal="right"/>
    </xf>
    <xf numFmtId="44" fontId="9" fillId="0" borderId="5" xfId="0" applyNumberFormat="1" applyFont="1" applyBorder="1" applyAlignment="1"/>
    <xf numFmtId="0" fontId="9" fillId="0" borderId="0" xfId="0" applyFont="1" applyAlignment="1"/>
    <xf numFmtId="0" fontId="0" fillId="2" borderId="0" xfId="0" applyFill="1">
      <alignment vertical="center"/>
    </xf>
    <xf numFmtId="0" fontId="16" fillId="0" borderId="0" xfId="0" applyFont="1">
      <alignment vertical="center"/>
    </xf>
    <xf numFmtId="0" fontId="18" fillId="0" borderId="5" xfId="0" applyFont="1" applyBorder="1" applyAlignment="1"/>
    <xf numFmtId="0" fontId="0" fillId="0" borderId="5" xfId="0" applyBorder="1">
      <alignment vertical="center"/>
    </xf>
    <xf numFmtId="14" fontId="0" fillId="6" borderId="4" xfId="0" applyNumberFormat="1" applyFill="1" applyBorder="1" applyAlignment="1"/>
    <xf numFmtId="176" fontId="0" fillId="6" borderId="5" xfId="0" applyNumberFormat="1" applyFill="1" applyBorder="1" applyAlignment="1">
      <alignment horizontal="center"/>
    </xf>
    <xf numFmtId="0" fontId="0" fillId="6" borderId="5" xfId="0" applyFill="1" applyBorder="1" applyAlignment="1"/>
    <xf numFmtId="40" fontId="0" fillId="6" borderId="5" xfId="0" applyNumberFormat="1" applyFill="1" applyBorder="1" applyAlignment="1"/>
    <xf numFmtId="14" fontId="0" fillId="6" borderId="5" xfId="0" applyNumberFormat="1" applyFill="1" applyBorder="1" applyAlignment="1"/>
    <xf numFmtId="40" fontId="0" fillId="6" borderId="6" xfId="0" applyNumberFormat="1" applyFill="1" applyBorder="1" applyAlignment="1"/>
    <xf numFmtId="0" fontId="8" fillId="0" borderId="0" xfId="0" applyFont="1">
      <alignment vertical="center"/>
    </xf>
    <xf numFmtId="0" fontId="0" fillId="6" borderId="5" xfId="0" applyFill="1" applyBorder="1">
      <alignment vertical="center"/>
    </xf>
    <xf numFmtId="14" fontId="0" fillId="2" borderId="4" xfId="0" applyNumberFormat="1" applyFill="1" applyBorder="1" applyAlignment="1"/>
    <xf numFmtId="0" fontId="21" fillId="0" borderId="15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43" fontId="16" fillId="0" borderId="5" xfId="0" applyNumberFormat="1" applyFont="1" applyBorder="1">
      <alignment vertical="center"/>
    </xf>
    <xf numFmtId="0" fontId="22" fillId="3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6" xfId="0" applyFont="1" applyBorder="1">
      <alignment vertical="center"/>
    </xf>
    <xf numFmtId="0" fontId="16" fillId="0" borderId="17" xfId="0" applyFont="1" applyBorder="1">
      <alignment vertical="center"/>
    </xf>
    <xf numFmtId="0" fontId="0" fillId="0" borderId="0" xfId="0" pivotButton="1">
      <alignment vertical="center"/>
    </xf>
    <xf numFmtId="0" fontId="0" fillId="5" borderId="0" xfId="0" applyFill="1">
      <alignment vertical="center"/>
    </xf>
    <xf numFmtId="176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/>
    <xf numFmtId="40" fontId="0" fillId="2" borderId="6" xfId="0" applyNumberFormat="1" applyFill="1" applyBorder="1" applyAlignment="1"/>
    <xf numFmtId="40" fontId="0" fillId="2" borderId="5" xfId="0" applyNumberFormat="1" applyFill="1" applyBorder="1" applyAlignment="1"/>
    <xf numFmtId="0" fontId="0" fillId="2" borderId="5" xfId="0" applyFill="1" applyBorder="1">
      <alignment vertical="center"/>
    </xf>
    <xf numFmtId="14" fontId="0" fillId="2" borderId="5" xfId="0" applyNumberFormat="1" applyFill="1" applyBorder="1" applyAlignment="1"/>
    <xf numFmtId="40" fontId="0" fillId="2" borderId="5" xfId="0" applyNumberFormat="1" applyFill="1" applyBorder="1">
      <alignment vertical="center"/>
    </xf>
    <xf numFmtId="0" fontId="20" fillId="2" borderId="5" xfId="0" applyFont="1" applyFill="1" applyBorder="1">
      <alignment vertical="center"/>
    </xf>
    <xf numFmtId="0" fontId="19" fillId="2" borderId="5" xfId="0" applyFont="1" applyFill="1" applyBorder="1">
      <alignment vertical="center"/>
    </xf>
    <xf numFmtId="40" fontId="17" fillId="2" borderId="6" xfId="0" applyNumberFormat="1" applyFont="1" applyFill="1" applyBorder="1" applyAlignment="1"/>
    <xf numFmtId="40" fontId="17" fillId="2" borderId="5" xfId="0" applyNumberFormat="1" applyFont="1" applyFill="1" applyBorder="1" applyAlignment="1"/>
    <xf numFmtId="0" fontId="0" fillId="2" borderId="0" xfId="0" applyFill="1" applyAlignment="1"/>
    <xf numFmtId="14" fontId="0" fillId="2" borderId="5" xfId="0" applyNumberFormat="1" applyFill="1" applyBorder="1" applyAlignment="1">
      <alignment horizontal="right"/>
    </xf>
    <xf numFmtId="43" fontId="0" fillId="2" borderId="5" xfId="2" applyFont="1" applyFill="1" applyBorder="1" applyAlignment="1"/>
    <xf numFmtId="177" fontId="0" fillId="2" borderId="5" xfId="0" applyNumberFormat="1" applyFill="1" applyBorder="1" applyAlignment="1"/>
    <xf numFmtId="0" fontId="19" fillId="2" borderId="5" xfId="0" applyFont="1" applyFill="1" applyBorder="1" applyAlignment="1"/>
    <xf numFmtId="0" fontId="20" fillId="2" borderId="5" xfId="0" applyFont="1" applyFill="1" applyBorder="1" applyAlignment="1">
      <alignment horizontal="justify" vertical="center"/>
    </xf>
    <xf numFmtId="14" fontId="7" fillId="2" borderId="5" xfId="0" applyNumberFormat="1" applyFont="1" applyFill="1" applyBorder="1" applyAlignment="1"/>
    <xf numFmtId="0" fontId="0" fillId="0" borderId="5" xfId="0" pivotButton="1" applyBorder="1">
      <alignment vertical="center"/>
    </xf>
    <xf numFmtId="0" fontId="23" fillId="0" borderId="0" xfId="0" applyFont="1">
      <alignment vertical="center"/>
    </xf>
    <xf numFmtId="0" fontId="23" fillId="0" borderId="5" xfId="0" applyFont="1" applyBorder="1" applyAlignment="1">
      <alignment horizontal="center" vertical="center"/>
    </xf>
    <xf numFmtId="14" fontId="0" fillId="7" borderId="4" xfId="0" applyNumberFormat="1" applyFill="1" applyBorder="1" applyAlignment="1"/>
    <xf numFmtId="176" fontId="0" fillId="7" borderId="5" xfId="0" applyNumberFormat="1" applyFill="1" applyBorder="1" applyAlignment="1">
      <alignment horizontal="center"/>
    </xf>
    <xf numFmtId="0" fontId="0" fillId="7" borderId="5" xfId="0" applyFill="1" applyBorder="1" applyAlignment="1"/>
    <xf numFmtId="40" fontId="0" fillId="7" borderId="6" xfId="0" applyNumberFormat="1" applyFill="1" applyBorder="1" applyAlignment="1"/>
    <xf numFmtId="14" fontId="0" fillId="7" borderId="5" xfId="0" applyNumberFormat="1" applyFill="1" applyBorder="1" applyAlignment="1"/>
    <xf numFmtId="40" fontId="0" fillId="7" borderId="5" xfId="0" applyNumberFormat="1" applyFill="1" applyBorder="1" applyAlignment="1"/>
    <xf numFmtId="0" fontId="0" fillId="7" borderId="5" xfId="0" applyFill="1" applyBorder="1">
      <alignment vertical="center"/>
    </xf>
    <xf numFmtId="40" fontId="0" fillId="7" borderId="5" xfId="0" applyNumberFormat="1" applyFill="1" applyBorder="1">
      <alignment vertical="center"/>
    </xf>
    <xf numFmtId="14" fontId="0" fillId="3" borderId="4" xfId="0" applyNumberFormat="1" applyFill="1" applyBorder="1" applyAlignment="1"/>
    <xf numFmtId="176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/>
    <xf numFmtId="40" fontId="0" fillId="3" borderId="6" xfId="0" applyNumberFormat="1" applyFill="1" applyBorder="1" applyAlignment="1"/>
    <xf numFmtId="14" fontId="0" fillId="3" borderId="5" xfId="0" applyNumberFormat="1" applyFill="1" applyBorder="1" applyAlignment="1"/>
    <xf numFmtId="40" fontId="0" fillId="3" borderId="5" xfId="0" applyNumberFormat="1" applyFill="1" applyBorder="1" applyAlignment="1"/>
    <xf numFmtId="40" fontId="0" fillId="3" borderId="5" xfId="0" applyNumberFormat="1" applyFill="1" applyBorder="1">
      <alignment vertical="center"/>
    </xf>
    <xf numFmtId="0" fontId="0" fillId="3" borderId="0" xfId="0" applyFill="1">
      <alignment vertical="center"/>
    </xf>
    <xf numFmtId="40" fontId="0" fillId="3" borderId="0" xfId="0" applyNumberFormat="1" applyFill="1">
      <alignment vertical="center"/>
    </xf>
    <xf numFmtId="0" fontId="0" fillId="0" borderId="0" xfId="0" applyAlignment="1">
      <alignment horizontal="left" vertical="center"/>
    </xf>
    <xf numFmtId="14" fontId="0" fillId="4" borderId="4" xfId="0" applyNumberFormat="1" applyFill="1" applyBorder="1" applyAlignment="1"/>
    <xf numFmtId="176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/>
    <xf numFmtId="40" fontId="0" fillId="4" borderId="6" xfId="0" applyNumberFormat="1" applyFill="1" applyBorder="1" applyAlignment="1"/>
    <xf numFmtId="14" fontId="0" fillId="4" borderId="5" xfId="0" applyNumberFormat="1" applyFill="1" applyBorder="1" applyAlignment="1"/>
    <xf numFmtId="40" fontId="0" fillId="4" borderId="5" xfId="0" applyNumberFormat="1" applyFill="1" applyBorder="1" applyAlignment="1"/>
    <xf numFmtId="40" fontId="0" fillId="4" borderId="5" xfId="0" applyNumberFormat="1" applyFill="1" applyBorder="1">
      <alignment vertical="center"/>
    </xf>
    <xf numFmtId="0" fontId="0" fillId="4" borderId="0" xfId="0" applyFill="1">
      <alignment vertical="center"/>
    </xf>
    <xf numFmtId="0" fontId="0" fillId="4" borderId="5" xfId="0" applyFill="1" applyBorder="1">
      <alignment vertical="center"/>
    </xf>
    <xf numFmtId="0" fontId="20" fillId="4" borderId="5" xfId="0" applyFont="1" applyFill="1" applyBorder="1">
      <alignment vertical="center"/>
    </xf>
    <xf numFmtId="40" fontId="0" fillId="4" borderId="0" xfId="0" applyNumberFormat="1" applyFill="1">
      <alignment vertical="center"/>
    </xf>
    <xf numFmtId="43" fontId="0" fillId="0" borderId="0" xfId="2" applyFont="1">
      <alignment vertical="center"/>
    </xf>
    <xf numFmtId="0" fontId="20" fillId="6" borderId="5" xfId="0" applyFont="1" applyFill="1" applyBorder="1">
      <alignment vertical="center"/>
    </xf>
    <xf numFmtId="0" fontId="0" fillId="6" borderId="0" xfId="0" applyFill="1">
      <alignment vertical="center"/>
    </xf>
    <xf numFmtId="40" fontId="0" fillId="6" borderId="0" xfId="0" applyNumberFormat="1" applyFill="1">
      <alignment vertical="center"/>
    </xf>
    <xf numFmtId="14" fontId="0" fillId="8" borderId="4" xfId="0" applyNumberFormat="1" applyFill="1" applyBorder="1" applyAlignment="1"/>
    <xf numFmtId="176" fontId="0" fillId="8" borderId="5" xfId="0" applyNumberFormat="1" applyFill="1" applyBorder="1" applyAlignment="1">
      <alignment horizontal="center"/>
    </xf>
    <xf numFmtId="0" fontId="0" fillId="8" borderId="5" xfId="0" applyFill="1" applyBorder="1" applyAlignment="1"/>
    <xf numFmtId="40" fontId="0" fillId="8" borderId="6" xfId="0" applyNumberFormat="1" applyFill="1" applyBorder="1" applyAlignment="1"/>
    <xf numFmtId="40" fontId="0" fillId="8" borderId="5" xfId="0" applyNumberFormat="1" applyFill="1" applyBorder="1" applyAlignment="1"/>
    <xf numFmtId="0" fontId="20" fillId="8" borderId="5" xfId="0" applyFont="1" applyFill="1" applyBorder="1">
      <alignment vertical="center"/>
    </xf>
    <xf numFmtId="0" fontId="0" fillId="8" borderId="0" xfId="0" applyFill="1">
      <alignment vertical="center"/>
    </xf>
    <xf numFmtId="40" fontId="0" fillId="8" borderId="0" xfId="0" applyNumberFormat="1" applyFill="1">
      <alignment vertical="center"/>
    </xf>
    <xf numFmtId="179" fontId="0" fillId="0" borderId="5" xfId="0" applyNumberFormat="1" applyBorder="1">
      <alignment vertical="center"/>
    </xf>
    <xf numFmtId="179" fontId="0" fillId="0" borderId="0" xfId="2" applyNumberFormat="1" applyFont="1">
      <alignment vertical="center"/>
    </xf>
  </cellXfs>
  <cellStyles count="3">
    <cellStyle name="一般" xfId="0" builtinId="0"/>
    <cellStyle name="千分位" xfId="2" builtinId="3"/>
    <cellStyle name="貨幣" xfId="1" builtinId="4"/>
  </cellStyles>
  <dxfs count="292">
    <dxf>
      <numFmt numFmtId="179" formatCode="#,##0.00_);[Red]\(#,##0.00\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35" formatCode="_-* #,##0.00_-;\-* #,##0.00_-;_-* &quot;-&quot;??_-;_-@_-"/>
    </dxf>
    <dxf>
      <font>
        <name val="標楷體"/>
        <scheme val="none"/>
      </font>
    </dxf>
    <dxf>
      <alignment horizontal="center" readingOrder="0"/>
    </dxf>
    <dxf>
      <fill>
        <patternFill patternType="solid"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35" formatCode="_-* #,##0.00_-;\-* #,##0.00_-;_-* &quot;-&quot;??_-;_-@_-"/>
    </dxf>
    <dxf>
      <font>
        <name val="標楷體"/>
        <scheme val="none"/>
      </font>
    </dxf>
    <dxf>
      <alignment horizontal="center" readingOrder="0"/>
    </dxf>
    <dxf>
      <fill>
        <patternFill patternType="solid"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horizontal="center" readingOrder="0"/>
    </dxf>
    <dxf>
      <font>
        <name val="標楷體"/>
        <scheme val="none"/>
      </font>
    </dxf>
    <dxf>
      <numFmt numFmtId="35" formatCode="_-* #,##0.00_-;\-* #,##0.00_-;_-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16.447117476855" createdVersion="5" refreshedVersion="5" minRefreshableVersion="3" recordCount="183">
  <cacheSource type="worksheet">
    <worksheetSource ref="A2:J200" sheet="支出明細"/>
  </cacheSource>
  <cacheFields count="10">
    <cacheField name="Date" numFmtId="0">
      <sharedItems containsNonDate="0" containsDate="1" containsString="0" containsBlank="1" minDate="2026-01-02T00:00:00" maxDate="2026-11-27T00:00:00"/>
    </cacheField>
    <cacheField name="Month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code" numFmtId="0">
      <sharedItems containsBlank="1" count="8">
        <s v="E160"/>
        <s v="A160"/>
        <s v="M190"/>
        <s v="M110"/>
        <s v="S150"/>
        <s v="A140"/>
        <s v="S190"/>
        <m/>
      </sharedItems>
    </cacheField>
    <cacheField name="Description" numFmtId="0">
      <sharedItems containsBlank="1" count="9">
        <s v="Payroll"/>
        <s v="Utilities/Electricity, Gas, Water, Telephone"/>
        <s v="Miscellaneous/Gifts, Meals, Refreshments, Postage"/>
        <s v="Supplies"/>
        <s v="Sunday Services-Honorarium Fee, Equipment, Supplies"/>
        <s v="Facilities"/>
        <e v="#N/A"/>
        <s v="          "/>
        <m/>
      </sharedItems>
    </cacheField>
    <cacheField name="Amount" numFmtId="0">
      <sharedItems containsString="0" containsBlank="1" containsNumber="1" minValue="21.46" maxValue="2000"/>
    </cacheField>
    <cacheField name="備註" numFmtId="0">
      <sharedItems containsBlank="1"/>
    </cacheField>
    <cacheField name="Memo1" numFmtId="0">
      <sharedItems containsNonDate="0" containsString="0" containsBlank="1"/>
    </cacheField>
    <cacheField name="小計" numFmtId="0">
      <sharedItems containsNonDate="0" containsString="0" containsBlank="1"/>
    </cacheField>
    <cacheField name="Memo2" numFmtId="0">
      <sharedItems containsNonDate="0" containsString="0" containsBlank="1"/>
    </cacheField>
    <cacheField name="月份總計" numFmtId="0">
      <sharedItems containsString="0" containsBlank="1" containsNumber="1" minValue="2486.4300000000003" maxValue="4188.3700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16.447117592594" createdVersion="5" refreshedVersion="5" minRefreshableVersion="3" recordCount="183">
  <cacheSource type="worksheet">
    <worksheetSource ref="A2:H500" sheet="支出明細"/>
  </cacheSource>
  <cacheFields count="8">
    <cacheField name="Date" numFmtId="0">
      <sharedItems containsNonDate="0" containsDate="1" containsString="0" containsBlank="1" minDate="2026-01-02T00:00:00" maxDate="2026-11-27T00:00:00"/>
    </cacheField>
    <cacheField name="Month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code" numFmtId="0">
      <sharedItems containsBlank="1" count="40">
        <s v="E160"/>
        <s v="A160"/>
        <s v="M190"/>
        <s v="M110"/>
        <s v="S150"/>
        <s v="A140"/>
        <s v="S190"/>
        <m/>
        <s v="E130" u="1"/>
        <s v="S160" u="1"/>
        <s v="G190" u="1"/>
        <s v="S180" u="1"/>
        <s v="C110" u="1"/>
        <s v="E180" u="1"/>
        <s v="AP" u="1"/>
        <s v="E190" u="1"/>
        <s v="AR" u="1"/>
        <s v="C150" u="1"/>
        <s v="A100" u="1"/>
        <s v="C160" u="1"/>
        <s v="A110" u="1"/>
        <s v="T110" u="1"/>
        <s v="A130" u="1"/>
        <s v="C190" u="1"/>
        <s v="F100" u="1"/>
        <s v="T130" u="1"/>
        <s v="A150" u="1"/>
        <s v="F120" u="1"/>
        <s v="T160" u="1"/>
        <s v="A180" u="1"/>
        <s v="M160" u="1"/>
        <s v="T180" u="1"/>
        <s v="M170" u="1"/>
        <s v="T190" u="1"/>
        <s v="M180" u="1"/>
        <s v="F170" u="1"/>
        <s v="S110" u="1"/>
        <s v="L100" u="1"/>
        <s v="TD" u="1"/>
        <s v="S140" u="1"/>
      </sharedItems>
    </cacheField>
    <cacheField name="Description" numFmtId="0">
      <sharedItems containsBlank="1" count="30">
        <s v="Payroll"/>
        <s v="Utilities/Electricity, Gas, Water, Telephone"/>
        <s v="Miscellaneous/Gifts, Meals, Refreshments, Postage"/>
        <s v="Supplies"/>
        <s v="Sunday Services-Honorarium Fee, Equipment, Supplies"/>
        <s v="Facilities"/>
        <e v="#N/A"/>
        <s v="          "/>
        <m/>
        <s v="Business Travels &amp; Expenses" u="1"/>
        <s v="Community Service-Seminar, Activity, Funeral, Wedding" u="1"/>
        <s v="Accounts Receivable" u="1"/>
        <s v="Benevolence Fee" u="1"/>
        <s v="Maintenance/Cleaning" u="1"/>
        <s v="Equipment/Hardware, software" u="1"/>
        <s v="Foreign Missions-Equipment, Supplies, Expenses" u="1"/>
        <s v="Domestic Missions-Equipment, Supplies, Expenses" u="1"/>
        <s v="Worship-Equipment, Supplies, Expenses" u="1"/>
        <s v="Website" u="1"/>
        <s v="Licensing, Insurance, Worker Comp, " u="1"/>
        <s v="Transportation/Payment, Gas, Maintenance, Insurance" u="1"/>
        <s v="Time Deposit" u="1"/>
        <s v="Retreats-Equipment, Supplies, Expenses" u="1"/>
        <s v="Youth Ministry-Equipment, Supplies, Expenses" u="1"/>
        <s v="Supplies/Utensil, " u="1"/>
        <s v="Sister Sammamish Group-Equipment, Supplies, Expenses" u="1"/>
        <s v="Young Professional Group-Equipment, Supplies, Expenses" u="1"/>
        <s v="Accounts Payable" u="1"/>
        <s v="Special Events-Honorarium Fee, Equipment, Supplies" u="1"/>
        <s v="Youth Group-Equipment, Supplies, Expenses" u="1"/>
      </sharedItems>
    </cacheField>
    <cacheField name="Amount" numFmtId="0">
      <sharedItems containsString="0" containsBlank="1" containsNumber="1" minValue="21.46" maxValue="2000"/>
    </cacheField>
    <cacheField name="備註" numFmtId="0">
      <sharedItems containsBlank="1"/>
    </cacheField>
    <cacheField name="Memo1" numFmtId="0">
      <sharedItems containsNonDate="0" containsString="0" containsBlank="1"/>
    </cacheField>
    <cacheField name="小計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3">
  <r>
    <d v="2026-01-02T00:00:00"/>
    <x v="0"/>
    <x v="0"/>
    <x v="0"/>
    <n v="2000"/>
    <m/>
    <m/>
    <m/>
    <m/>
    <m/>
  </r>
  <r>
    <d v="2026-01-22T00:00:00"/>
    <x v="0"/>
    <x v="1"/>
    <x v="1"/>
    <n v="315.61"/>
    <s v="Puget Sound"/>
    <m/>
    <m/>
    <m/>
    <m/>
  </r>
  <r>
    <d v="2026-01-26T00:00:00"/>
    <x v="0"/>
    <x v="1"/>
    <x v="1"/>
    <n v="170.82"/>
    <s v="Comcast"/>
    <m/>
    <m/>
    <m/>
    <n v="2486.4300000000003"/>
  </r>
  <r>
    <d v="2026-02-02T00:00:00"/>
    <x v="1"/>
    <x v="0"/>
    <x v="0"/>
    <n v="2000"/>
    <m/>
    <m/>
    <m/>
    <m/>
    <m/>
  </r>
  <r>
    <d v="2026-02-20T00:00:00"/>
    <x v="1"/>
    <x v="1"/>
    <x v="1"/>
    <n v="285.69"/>
    <s v="City of Issaquah"/>
    <m/>
    <m/>
    <m/>
    <m/>
  </r>
  <r>
    <d v="2026-02-20T00:00:00"/>
    <x v="1"/>
    <x v="1"/>
    <x v="1"/>
    <n v="304.20999999999998"/>
    <s v="Puget Sound"/>
    <m/>
    <m/>
    <m/>
    <m/>
  </r>
  <r>
    <d v="2026-02-25T00:00:00"/>
    <x v="1"/>
    <x v="1"/>
    <x v="1"/>
    <n v="170.88"/>
    <s v="Comcast"/>
    <m/>
    <m/>
    <m/>
    <n v="2760.78"/>
  </r>
  <r>
    <d v="2026-03-02T00:00:00"/>
    <x v="2"/>
    <x v="0"/>
    <x v="0"/>
    <n v="2000"/>
    <m/>
    <m/>
    <m/>
    <m/>
    <m/>
  </r>
  <r>
    <d v="2026-03-05T00:00:00"/>
    <x v="2"/>
    <x v="2"/>
    <x v="2"/>
    <n v="110.55"/>
    <s v="Check 1152"/>
    <m/>
    <m/>
    <m/>
    <m/>
  </r>
  <r>
    <d v="2026-03-09T00:00:00"/>
    <x v="2"/>
    <x v="3"/>
    <x v="3"/>
    <n v="21.55"/>
    <s v="Check 1155"/>
    <m/>
    <m/>
    <m/>
    <m/>
  </r>
  <r>
    <d v="2026-03-16T00:00:00"/>
    <x v="2"/>
    <x v="4"/>
    <x v="4"/>
    <n v="200"/>
    <s v="Check 1154"/>
    <m/>
    <m/>
    <m/>
    <m/>
  </r>
  <r>
    <d v="2026-03-16T00:00:00"/>
    <x v="2"/>
    <x v="4"/>
    <x v="4"/>
    <n v="200"/>
    <s v="Check 1151"/>
    <m/>
    <m/>
    <m/>
    <m/>
  </r>
  <r>
    <d v="2026-03-16T00:00:00"/>
    <x v="2"/>
    <x v="1"/>
    <x v="1"/>
    <n v="672"/>
    <m/>
    <m/>
    <m/>
    <m/>
    <m/>
  </r>
  <r>
    <d v="2026-03-16T00:00:00"/>
    <x v="2"/>
    <x v="3"/>
    <x v="3"/>
    <n v="534.79999999999995"/>
    <s v="Check 1156"/>
    <m/>
    <m/>
    <m/>
    <m/>
  </r>
  <r>
    <d v="2026-03-17T00:00:00"/>
    <x v="2"/>
    <x v="5"/>
    <x v="5"/>
    <n v="21.46"/>
    <s v="Check 1157"/>
    <m/>
    <m/>
    <m/>
    <m/>
  </r>
  <r>
    <d v="2026-03-20T00:00:00"/>
    <x v="2"/>
    <x v="1"/>
    <x v="1"/>
    <n v="257.13"/>
    <s v="Puget Sound"/>
    <m/>
    <m/>
    <m/>
    <m/>
  </r>
  <r>
    <d v="2026-03-25T00:00:00"/>
    <x v="2"/>
    <x v="1"/>
    <x v="1"/>
    <n v="170.88"/>
    <s v="Comcast"/>
    <m/>
    <m/>
    <m/>
    <n v="4188.3700000000008"/>
  </r>
  <r>
    <d v="2026-04-01T00:00:00"/>
    <x v="3"/>
    <x v="0"/>
    <x v="0"/>
    <n v="2000"/>
    <m/>
    <m/>
    <m/>
    <m/>
    <m/>
  </r>
  <r>
    <d v="2026-04-14T00:00:00"/>
    <x v="3"/>
    <x v="6"/>
    <x v="2"/>
    <n v="90"/>
    <s v=" Check 1160"/>
    <m/>
    <m/>
    <m/>
    <m/>
  </r>
  <r>
    <d v="2026-04-14T00:00:00"/>
    <x v="3"/>
    <x v="4"/>
    <x v="4"/>
    <n v="200"/>
    <s v=" Check 1161"/>
    <m/>
    <m/>
    <m/>
    <m/>
  </r>
  <r>
    <d v="2026-04-14T00:00:00"/>
    <x v="3"/>
    <x v="4"/>
    <x v="4"/>
    <n v="200"/>
    <s v=" Check 1158 "/>
    <m/>
    <m/>
    <m/>
    <m/>
  </r>
  <r>
    <d v="2026-04-15T00:00:00"/>
    <x v="3"/>
    <x v="6"/>
    <x v="2"/>
    <n v="240.87"/>
    <s v="Check 1159"/>
    <m/>
    <m/>
    <m/>
    <m/>
  </r>
  <r>
    <d v="2026-04-20T00:00:00"/>
    <x v="3"/>
    <x v="1"/>
    <x v="1"/>
    <n v="339.05"/>
    <s v="City of Issaquah"/>
    <m/>
    <m/>
    <m/>
    <m/>
  </r>
  <r>
    <d v="2026-04-21T00:00:00"/>
    <x v="3"/>
    <x v="1"/>
    <x v="1"/>
    <n v="246.6"/>
    <s v="Puget Sound"/>
    <m/>
    <m/>
    <m/>
    <m/>
  </r>
  <r>
    <d v="2026-04-27T00:00:00"/>
    <x v="3"/>
    <x v="1"/>
    <x v="1"/>
    <n v="170.88"/>
    <s v="Comcast"/>
    <m/>
    <m/>
    <m/>
    <n v="3487.4"/>
  </r>
  <r>
    <d v="2026-05-01T00:00:00"/>
    <x v="4"/>
    <x v="0"/>
    <x v="0"/>
    <n v="2000"/>
    <m/>
    <m/>
    <m/>
    <m/>
    <m/>
  </r>
  <r>
    <d v="2026-05-18T00:00:00"/>
    <x v="4"/>
    <x v="6"/>
    <x v="2"/>
    <n v="260.47000000000003"/>
    <s v="Check 1162"/>
    <m/>
    <m/>
    <m/>
    <m/>
  </r>
  <r>
    <d v="2026-05-20T00:00:00"/>
    <x v="4"/>
    <x v="1"/>
    <x v="1"/>
    <n v="233.81"/>
    <s v="Puget Sound"/>
    <m/>
    <m/>
    <m/>
    <m/>
  </r>
  <r>
    <d v="2026-05-26T00:00:00"/>
    <x v="4"/>
    <x v="1"/>
    <x v="1"/>
    <n v="170.88"/>
    <s v="Comcast"/>
    <m/>
    <m/>
    <m/>
    <n v="2665.1600000000003"/>
  </r>
  <r>
    <d v="2026-06-01T00:00:00"/>
    <x v="5"/>
    <x v="0"/>
    <x v="0"/>
    <n v="2000"/>
    <m/>
    <m/>
    <m/>
    <m/>
    <m/>
  </r>
  <r>
    <d v="2026-06-22T00:00:00"/>
    <x v="5"/>
    <x v="1"/>
    <x v="1"/>
    <n v="364.28"/>
    <s v="City of Issaquah"/>
    <m/>
    <m/>
    <m/>
    <m/>
  </r>
  <r>
    <d v="2026-06-22T00:00:00"/>
    <x v="5"/>
    <x v="1"/>
    <x v="1"/>
    <n v="211.84"/>
    <s v="Puget Sound"/>
    <m/>
    <m/>
    <m/>
    <m/>
  </r>
  <r>
    <d v="2026-06-25T00:00:00"/>
    <x v="5"/>
    <x v="1"/>
    <x v="1"/>
    <n v="170.88"/>
    <s v="Comcast"/>
    <m/>
    <m/>
    <m/>
    <m/>
  </r>
  <r>
    <d v="2026-06-30T00:00:00"/>
    <x v="5"/>
    <x v="1"/>
    <x v="1"/>
    <n v="682.39"/>
    <s v="Cm Select Insura"/>
    <m/>
    <m/>
    <m/>
    <n v="3429.39"/>
  </r>
  <r>
    <d v="2026-05-10T00:00:00"/>
    <x v="4"/>
    <x v="7"/>
    <x v="6"/>
    <m/>
    <m/>
    <m/>
    <m/>
    <m/>
    <m/>
  </r>
  <r>
    <d v="2026-03-17T00:00:00"/>
    <x v="2"/>
    <x v="7"/>
    <x v="6"/>
    <m/>
    <m/>
    <m/>
    <m/>
    <m/>
    <m/>
  </r>
  <r>
    <d v="2026-03-17T00:00:00"/>
    <x v="2"/>
    <x v="7"/>
    <x v="6"/>
    <m/>
    <m/>
    <m/>
    <m/>
    <m/>
    <m/>
  </r>
  <r>
    <d v="2026-03-17T00:00:00"/>
    <x v="2"/>
    <x v="7"/>
    <x v="6"/>
    <m/>
    <m/>
    <m/>
    <m/>
    <m/>
    <m/>
  </r>
  <r>
    <d v="2026-03-17T00:00:00"/>
    <x v="2"/>
    <x v="7"/>
    <x v="6"/>
    <m/>
    <m/>
    <m/>
    <m/>
    <m/>
    <m/>
  </r>
  <r>
    <d v="2026-03-17T00:00:00"/>
    <x v="2"/>
    <x v="7"/>
    <x v="6"/>
    <m/>
    <m/>
    <m/>
    <m/>
    <m/>
    <m/>
  </r>
  <r>
    <d v="2026-03-21T00:00:00"/>
    <x v="2"/>
    <x v="7"/>
    <x v="6"/>
    <m/>
    <m/>
    <m/>
    <m/>
    <m/>
    <m/>
  </r>
  <r>
    <d v="2026-04-01T00:00:00"/>
    <x v="3"/>
    <x v="7"/>
    <x v="6"/>
    <m/>
    <m/>
    <m/>
    <m/>
    <m/>
    <m/>
  </r>
  <r>
    <d v="2026-04-21T00:00:00"/>
    <x v="3"/>
    <x v="7"/>
    <x v="6"/>
    <m/>
    <m/>
    <m/>
    <m/>
    <m/>
    <m/>
  </r>
  <r>
    <d v="2026-04-29T00:00:00"/>
    <x v="3"/>
    <x v="7"/>
    <x v="6"/>
    <m/>
    <m/>
    <m/>
    <m/>
    <m/>
    <m/>
  </r>
  <r>
    <d v="2026-05-01T00:00:00"/>
    <x v="4"/>
    <x v="7"/>
    <x v="6"/>
    <m/>
    <m/>
    <m/>
    <m/>
    <m/>
    <m/>
  </r>
  <r>
    <d v="2026-05-08T00:00:00"/>
    <x v="4"/>
    <x v="7"/>
    <x v="6"/>
    <m/>
    <m/>
    <m/>
    <m/>
    <m/>
    <m/>
  </r>
  <r>
    <d v="2026-05-12T00:00:00"/>
    <x v="4"/>
    <x v="7"/>
    <x v="6"/>
    <m/>
    <m/>
    <m/>
    <m/>
    <m/>
    <m/>
  </r>
  <r>
    <d v="2026-05-14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0T00:00:00"/>
    <x v="4"/>
    <x v="7"/>
    <x v="6"/>
    <m/>
    <m/>
    <m/>
    <m/>
    <m/>
    <m/>
  </r>
  <r>
    <d v="2026-05-21T00:00:00"/>
    <x v="4"/>
    <x v="7"/>
    <x v="6"/>
    <m/>
    <m/>
    <m/>
    <m/>
    <m/>
    <m/>
  </r>
  <r>
    <d v="2026-05-22T00:00:00"/>
    <x v="4"/>
    <x v="7"/>
    <x v="6"/>
    <m/>
    <m/>
    <m/>
    <m/>
    <m/>
    <m/>
  </r>
  <r>
    <d v="2026-06-02T00:00:00"/>
    <x v="5"/>
    <x v="7"/>
    <x v="6"/>
    <m/>
    <m/>
    <m/>
    <m/>
    <m/>
    <m/>
  </r>
  <r>
    <d v="2026-06-20T00:00:00"/>
    <x v="5"/>
    <x v="7"/>
    <x v="6"/>
    <m/>
    <m/>
    <m/>
    <m/>
    <m/>
    <m/>
  </r>
  <r>
    <d v="2026-06-23T00:00:00"/>
    <x v="5"/>
    <x v="7"/>
    <x v="6"/>
    <m/>
    <m/>
    <m/>
    <m/>
    <m/>
    <m/>
  </r>
  <r>
    <d v="2026-06-30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6-16T00:00:00"/>
    <x v="5"/>
    <x v="7"/>
    <x v="6"/>
    <m/>
    <m/>
    <m/>
    <m/>
    <m/>
    <m/>
  </r>
  <r>
    <d v="2026-07-01T00:00:00"/>
    <x v="6"/>
    <x v="7"/>
    <x v="6"/>
    <m/>
    <m/>
    <m/>
    <m/>
    <m/>
    <m/>
  </r>
  <r>
    <d v="2026-07-01T00:00:00"/>
    <x v="6"/>
    <x v="7"/>
    <x v="6"/>
    <m/>
    <m/>
    <m/>
    <m/>
    <m/>
    <m/>
  </r>
  <r>
    <d v="2026-07-22T00:00:00"/>
    <x v="6"/>
    <x v="7"/>
    <x v="6"/>
    <m/>
    <m/>
    <m/>
    <m/>
    <m/>
    <m/>
  </r>
  <r>
    <d v="2026-08-01T00:00:00"/>
    <x v="7"/>
    <x v="7"/>
    <x v="6"/>
    <m/>
    <m/>
    <m/>
    <m/>
    <m/>
    <m/>
  </r>
  <r>
    <d v="2026-08-04T00:00:00"/>
    <x v="7"/>
    <x v="7"/>
    <x v="6"/>
    <m/>
    <m/>
    <m/>
    <m/>
    <m/>
    <m/>
  </r>
  <r>
    <d v="2026-08-11T00:00:00"/>
    <x v="7"/>
    <x v="7"/>
    <x v="6"/>
    <m/>
    <m/>
    <m/>
    <m/>
    <m/>
    <m/>
  </r>
  <r>
    <d v="2026-08-20T00:00:00"/>
    <x v="7"/>
    <x v="7"/>
    <x v="6"/>
    <m/>
    <m/>
    <m/>
    <m/>
    <m/>
    <m/>
  </r>
  <r>
    <d v="2026-08-21T00:00:00"/>
    <x v="7"/>
    <x v="7"/>
    <x v="6"/>
    <m/>
    <m/>
    <m/>
    <m/>
    <m/>
    <m/>
  </r>
  <r>
    <d v="2026-09-02T00:00:00"/>
    <x v="8"/>
    <x v="7"/>
    <x v="6"/>
    <m/>
    <m/>
    <m/>
    <m/>
    <m/>
    <m/>
  </r>
  <r>
    <d v="2026-09-03T00:00:00"/>
    <x v="8"/>
    <x v="7"/>
    <x v="6"/>
    <m/>
    <m/>
    <m/>
    <m/>
    <m/>
    <m/>
  </r>
  <r>
    <d v="2026-09-10T00:00:00"/>
    <x v="8"/>
    <x v="7"/>
    <x v="6"/>
    <m/>
    <m/>
    <m/>
    <m/>
    <m/>
    <m/>
  </r>
  <r>
    <d v="2026-09-15T00:00:00"/>
    <x v="8"/>
    <x v="7"/>
    <x v="6"/>
    <m/>
    <m/>
    <m/>
    <m/>
    <m/>
    <m/>
  </r>
  <r>
    <d v="2026-09-15T00:00:00"/>
    <x v="8"/>
    <x v="7"/>
    <x v="6"/>
    <m/>
    <m/>
    <m/>
    <m/>
    <m/>
    <m/>
  </r>
  <r>
    <d v="2026-09-22T00:00:00"/>
    <x v="8"/>
    <x v="7"/>
    <x v="6"/>
    <m/>
    <m/>
    <m/>
    <m/>
    <m/>
    <m/>
  </r>
  <r>
    <d v="2026-09-24T00:00:00"/>
    <x v="8"/>
    <x v="7"/>
    <x v="6"/>
    <m/>
    <m/>
    <m/>
    <m/>
    <m/>
    <m/>
  </r>
  <r>
    <d v="2026-09-24T00:00:00"/>
    <x v="8"/>
    <x v="7"/>
    <x v="6"/>
    <m/>
    <m/>
    <m/>
    <m/>
    <m/>
    <m/>
  </r>
  <r>
    <d v="2026-10-01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14T00:00:00"/>
    <x v="9"/>
    <x v="7"/>
    <x v="6"/>
    <m/>
    <m/>
    <m/>
    <m/>
    <m/>
    <m/>
  </r>
  <r>
    <d v="2026-10-17T00:00:00"/>
    <x v="9"/>
    <x v="7"/>
    <x v="6"/>
    <m/>
    <m/>
    <m/>
    <m/>
    <m/>
    <m/>
  </r>
  <r>
    <d v="2026-10-20T00:00:00"/>
    <x v="9"/>
    <x v="7"/>
    <x v="6"/>
    <m/>
    <m/>
    <m/>
    <m/>
    <m/>
    <m/>
  </r>
  <r>
    <d v="2026-10-20T00:00:00"/>
    <x v="9"/>
    <x v="7"/>
    <x v="6"/>
    <m/>
    <m/>
    <m/>
    <m/>
    <m/>
    <m/>
  </r>
  <r>
    <d v="2026-10-22T00:00:00"/>
    <x v="9"/>
    <x v="7"/>
    <x v="6"/>
    <m/>
    <m/>
    <m/>
    <m/>
    <m/>
    <m/>
  </r>
  <r>
    <d v="2026-10-24T00:00:00"/>
    <x v="9"/>
    <x v="7"/>
    <x v="6"/>
    <m/>
    <m/>
    <m/>
    <m/>
    <m/>
    <m/>
  </r>
  <r>
    <d v="2026-10-27T00:00:00"/>
    <x v="9"/>
    <x v="7"/>
    <x v="6"/>
    <m/>
    <m/>
    <m/>
    <m/>
    <m/>
    <m/>
  </r>
  <r>
    <d v="2026-10-27T00:00:00"/>
    <x v="9"/>
    <x v="7"/>
    <x v="6"/>
    <m/>
    <m/>
    <m/>
    <m/>
    <m/>
    <m/>
  </r>
  <r>
    <d v="2026-10-29T00:00:00"/>
    <x v="9"/>
    <x v="7"/>
    <x v="6"/>
    <m/>
    <m/>
    <m/>
    <m/>
    <m/>
    <m/>
  </r>
  <r>
    <d v="2026-10-29T00:00:00"/>
    <x v="9"/>
    <x v="7"/>
    <x v="6"/>
    <m/>
    <m/>
    <m/>
    <m/>
    <m/>
    <m/>
  </r>
  <r>
    <d v="2026-10-29T00:00:00"/>
    <x v="9"/>
    <x v="7"/>
    <x v="6"/>
    <m/>
    <m/>
    <m/>
    <m/>
    <m/>
    <m/>
  </r>
  <r>
    <d v="2026-10-29T00:00:00"/>
    <x v="9"/>
    <x v="7"/>
    <x v="6"/>
    <m/>
    <m/>
    <m/>
    <m/>
    <m/>
    <m/>
  </r>
  <r>
    <d v="2026-10-29T00:00:00"/>
    <x v="9"/>
    <x v="7"/>
    <x v="6"/>
    <m/>
    <m/>
    <m/>
    <m/>
    <m/>
    <m/>
  </r>
  <r>
    <d v="2026-10-29T00:00:00"/>
    <x v="9"/>
    <x v="7"/>
    <x v="6"/>
    <m/>
    <m/>
    <m/>
    <m/>
    <m/>
    <m/>
  </r>
  <r>
    <d v="2026-10-29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0-06T00:00:00"/>
    <x v="9"/>
    <x v="7"/>
    <x v="6"/>
    <m/>
    <m/>
    <m/>
    <m/>
    <m/>
    <m/>
  </r>
  <r>
    <d v="2026-11-03T00:00:00"/>
    <x v="10"/>
    <x v="7"/>
    <x v="6"/>
    <m/>
    <m/>
    <m/>
    <m/>
    <m/>
    <m/>
  </r>
  <r>
    <d v="2026-11-03T00:00:00"/>
    <x v="10"/>
    <x v="7"/>
    <x v="6"/>
    <m/>
    <m/>
    <m/>
    <m/>
    <m/>
    <m/>
  </r>
  <r>
    <d v="2026-11-06T00:00:00"/>
    <x v="10"/>
    <x v="7"/>
    <x v="6"/>
    <m/>
    <m/>
    <m/>
    <m/>
    <m/>
    <m/>
  </r>
  <r>
    <d v="2026-11-24T00:00:00"/>
    <x v="10"/>
    <x v="7"/>
    <x v="6"/>
    <m/>
    <m/>
    <m/>
    <m/>
    <m/>
    <m/>
  </r>
  <r>
    <d v="2026-11-26T00:00:00"/>
    <x v="10"/>
    <x v="7"/>
    <x v="6"/>
    <m/>
    <m/>
    <m/>
    <m/>
    <m/>
    <m/>
  </r>
  <r>
    <d v="2026-11-08T00:00:00"/>
    <x v="10"/>
    <x v="7"/>
    <x v="6"/>
    <m/>
    <m/>
    <m/>
    <m/>
    <m/>
    <m/>
  </r>
  <r>
    <d v="2026-11-09T00:00:00"/>
    <x v="10"/>
    <x v="7"/>
    <x v="6"/>
    <m/>
    <m/>
    <m/>
    <m/>
    <m/>
    <m/>
  </r>
  <r>
    <d v="2026-11-10T00:00:00"/>
    <x v="10"/>
    <x v="7"/>
    <x v="6"/>
    <m/>
    <m/>
    <m/>
    <m/>
    <m/>
    <m/>
  </r>
  <r>
    <d v="2026-11-11T00:00:00"/>
    <x v="10"/>
    <x v="7"/>
    <x v="6"/>
    <m/>
    <m/>
    <m/>
    <m/>
    <m/>
    <m/>
  </r>
  <r>
    <d v="2026-11-12T00:00:00"/>
    <x v="10"/>
    <x v="7"/>
    <x v="7"/>
    <m/>
    <m/>
    <m/>
    <m/>
    <m/>
    <m/>
  </r>
  <r>
    <d v="2026-11-13T00:00:00"/>
    <x v="10"/>
    <x v="7"/>
    <x v="6"/>
    <m/>
    <m/>
    <m/>
    <m/>
    <m/>
    <m/>
  </r>
  <r>
    <d v="2026-11-14T00:00:00"/>
    <x v="10"/>
    <x v="7"/>
    <x v="6"/>
    <m/>
    <m/>
    <m/>
    <m/>
    <m/>
    <m/>
  </r>
  <r>
    <d v="2026-11-15T00:00:00"/>
    <x v="10"/>
    <x v="7"/>
    <x v="6"/>
    <m/>
    <m/>
    <m/>
    <m/>
    <m/>
    <m/>
  </r>
  <r>
    <d v="2026-11-16T00:00:00"/>
    <x v="10"/>
    <x v="7"/>
    <x v="6"/>
    <m/>
    <m/>
    <m/>
    <m/>
    <m/>
    <m/>
  </r>
  <r>
    <d v="2026-11-17T00:00:00"/>
    <x v="10"/>
    <x v="7"/>
    <x v="6"/>
    <m/>
    <m/>
    <m/>
    <m/>
    <m/>
    <m/>
  </r>
  <r>
    <d v="2026-11-18T00:00:00"/>
    <x v="10"/>
    <x v="7"/>
    <x v="6"/>
    <m/>
    <m/>
    <m/>
    <m/>
    <m/>
    <m/>
  </r>
  <r>
    <d v="2026-11-19T00:00:00"/>
    <x v="10"/>
    <x v="7"/>
    <x v="6"/>
    <m/>
    <m/>
    <m/>
    <m/>
    <m/>
    <m/>
  </r>
  <r>
    <d v="2026-11-20T00:00:00"/>
    <x v="10"/>
    <x v="7"/>
    <x v="6"/>
    <m/>
    <m/>
    <m/>
    <m/>
    <m/>
    <m/>
  </r>
  <r>
    <d v="2026-11-21T00:00:00"/>
    <x v="10"/>
    <x v="7"/>
    <x v="6"/>
    <m/>
    <m/>
    <m/>
    <m/>
    <m/>
    <m/>
  </r>
  <r>
    <d v="2026-11-22T00:00:00"/>
    <x v="1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0"/>
    <x v="7"/>
    <x v="6"/>
    <m/>
    <m/>
    <m/>
    <m/>
    <m/>
    <m/>
  </r>
  <r>
    <m/>
    <x v="11"/>
    <x v="7"/>
    <x v="8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3">
  <r>
    <d v="2026-01-02T00:00:00"/>
    <x v="0"/>
    <x v="0"/>
    <x v="0"/>
    <n v="2000"/>
    <m/>
    <m/>
    <m/>
  </r>
  <r>
    <d v="2026-01-22T00:00:00"/>
    <x v="0"/>
    <x v="1"/>
    <x v="1"/>
    <n v="315.61"/>
    <s v="Puget Sound"/>
    <m/>
    <m/>
  </r>
  <r>
    <d v="2026-01-26T00:00:00"/>
    <x v="0"/>
    <x v="1"/>
    <x v="1"/>
    <n v="170.82"/>
    <s v="Comcast"/>
    <m/>
    <m/>
  </r>
  <r>
    <d v="2026-02-02T00:00:00"/>
    <x v="1"/>
    <x v="0"/>
    <x v="0"/>
    <n v="2000"/>
    <m/>
    <m/>
    <m/>
  </r>
  <r>
    <d v="2026-02-20T00:00:00"/>
    <x v="1"/>
    <x v="1"/>
    <x v="1"/>
    <n v="285.69"/>
    <s v="City of Issaquah"/>
    <m/>
    <m/>
  </r>
  <r>
    <d v="2026-02-20T00:00:00"/>
    <x v="1"/>
    <x v="1"/>
    <x v="1"/>
    <n v="304.20999999999998"/>
    <s v="Puget Sound"/>
    <m/>
    <m/>
  </r>
  <r>
    <d v="2026-02-25T00:00:00"/>
    <x v="1"/>
    <x v="1"/>
    <x v="1"/>
    <n v="170.88"/>
    <s v="Comcast"/>
    <m/>
    <m/>
  </r>
  <r>
    <d v="2026-03-02T00:00:00"/>
    <x v="2"/>
    <x v="0"/>
    <x v="0"/>
    <n v="2000"/>
    <m/>
    <m/>
    <m/>
  </r>
  <r>
    <d v="2026-03-05T00:00:00"/>
    <x v="2"/>
    <x v="2"/>
    <x v="2"/>
    <n v="110.55"/>
    <s v="Check 1152"/>
    <m/>
    <m/>
  </r>
  <r>
    <d v="2026-03-09T00:00:00"/>
    <x v="2"/>
    <x v="3"/>
    <x v="3"/>
    <n v="21.55"/>
    <s v="Check 1155"/>
    <m/>
    <m/>
  </r>
  <r>
    <d v="2026-03-16T00:00:00"/>
    <x v="2"/>
    <x v="4"/>
    <x v="4"/>
    <n v="200"/>
    <s v="Check 1154"/>
    <m/>
    <m/>
  </r>
  <r>
    <d v="2026-03-16T00:00:00"/>
    <x v="2"/>
    <x v="4"/>
    <x v="4"/>
    <n v="200"/>
    <s v="Check 1151"/>
    <m/>
    <m/>
  </r>
  <r>
    <d v="2026-03-16T00:00:00"/>
    <x v="2"/>
    <x v="1"/>
    <x v="1"/>
    <n v="672"/>
    <m/>
    <m/>
    <m/>
  </r>
  <r>
    <d v="2026-03-16T00:00:00"/>
    <x v="2"/>
    <x v="3"/>
    <x v="3"/>
    <n v="534.79999999999995"/>
    <s v="Check 1156"/>
    <m/>
    <m/>
  </r>
  <r>
    <d v="2026-03-17T00:00:00"/>
    <x v="2"/>
    <x v="5"/>
    <x v="5"/>
    <n v="21.46"/>
    <s v="Check 1157"/>
    <m/>
    <m/>
  </r>
  <r>
    <d v="2026-03-20T00:00:00"/>
    <x v="2"/>
    <x v="1"/>
    <x v="1"/>
    <n v="257.13"/>
    <s v="Puget Sound"/>
    <m/>
    <m/>
  </r>
  <r>
    <d v="2026-03-25T00:00:00"/>
    <x v="2"/>
    <x v="1"/>
    <x v="1"/>
    <n v="170.88"/>
    <s v="Comcast"/>
    <m/>
    <m/>
  </r>
  <r>
    <d v="2026-04-01T00:00:00"/>
    <x v="3"/>
    <x v="0"/>
    <x v="0"/>
    <n v="2000"/>
    <m/>
    <m/>
    <m/>
  </r>
  <r>
    <d v="2026-04-14T00:00:00"/>
    <x v="3"/>
    <x v="6"/>
    <x v="2"/>
    <n v="90"/>
    <s v=" Check 1160"/>
    <m/>
    <m/>
  </r>
  <r>
    <d v="2026-04-14T00:00:00"/>
    <x v="3"/>
    <x v="4"/>
    <x v="4"/>
    <n v="200"/>
    <s v=" Check 1161"/>
    <m/>
    <m/>
  </r>
  <r>
    <d v="2026-04-14T00:00:00"/>
    <x v="3"/>
    <x v="4"/>
    <x v="4"/>
    <n v="200"/>
    <s v=" Check 1158 "/>
    <m/>
    <m/>
  </r>
  <r>
    <d v="2026-04-15T00:00:00"/>
    <x v="3"/>
    <x v="6"/>
    <x v="2"/>
    <n v="240.87"/>
    <s v="Check 1159"/>
    <m/>
    <m/>
  </r>
  <r>
    <d v="2026-04-20T00:00:00"/>
    <x v="3"/>
    <x v="1"/>
    <x v="1"/>
    <n v="339.05"/>
    <s v="City of Issaquah"/>
    <m/>
    <m/>
  </r>
  <r>
    <d v="2026-04-21T00:00:00"/>
    <x v="3"/>
    <x v="1"/>
    <x v="1"/>
    <n v="246.6"/>
    <s v="Puget Sound"/>
    <m/>
    <m/>
  </r>
  <r>
    <d v="2026-04-27T00:00:00"/>
    <x v="3"/>
    <x v="1"/>
    <x v="1"/>
    <n v="170.88"/>
    <s v="Comcast"/>
    <m/>
    <m/>
  </r>
  <r>
    <d v="2026-05-01T00:00:00"/>
    <x v="4"/>
    <x v="0"/>
    <x v="0"/>
    <n v="2000"/>
    <m/>
    <m/>
    <m/>
  </r>
  <r>
    <d v="2026-05-18T00:00:00"/>
    <x v="4"/>
    <x v="6"/>
    <x v="2"/>
    <n v="260.47000000000003"/>
    <s v="Check 1162"/>
    <m/>
    <m/>
  </r>
  <r>
    <d v="2026-05-20T00:00:00"/>
    <x v="4"/>
    <x v="1"/>
    <x v="1"/>
    <n v="233.81"/>
    <s v="Puget Sound"/>
    <m/>
    <m/>
  </r>
  <r>
    <d v="2026-05-26T00:00:00"/>
    <x v="4"/>
    <x v="1"/>
    <x v="1"/>
    <n v="170.88"/>
    <s v="Comcast"/>
    <m/>
    <m/>
  </r>
  <r>
    <d v="2026-06-01T00:00:00"/>
    <x v="5"/>
    <x v="0"/>
    <x v="0"/>
    <n v="2000"/>
    <m/>
    <m/>
    <m/>
  </r>
  <r>
    <d v="2026-06-22T00:00:00"/>
    <x v="5"/>
    <x v="1"/>
    <x v="1"/>
    <n v="364.28"/>
    <s v="City of Issaquah"/>
    <m/>
    <m/>
  </r>
  <r>
    <d v="2026-06-22T00:00:00"/>
    <x v="5"/>
    <x v="1"/>
    <x v="1"/>
    <n v="211.84"/>
    <s v="Puget Sound"/>
    <m/>
    <m/>
  </r>
  <r>
    <d v="2026-06-25T00:00:00"/>
    <x v="5"/>
    <x v="1"/>
    <x v="1"/>
    <n v="170.88"/>
    <s v="Comcast"/>
    <m/>
    <m/>
  </r>
  <r>
    <d v="2026-06-30T00:00:00"/>
    <x v="5"/>
    <x v="1"/>
    <x v="1"/>
    <n v="682.39"/>
    <s v="Cm Select Insura"/>
    <m/>
    <m/>
  </r>
  <r>
    <d v="2026-05-10T00:00:00"/>
    <x v="4"/>
    <x v="7"/>
    <x v="6"/>
    <m/>
    <m/>
    <m/>
    <m/>
  </r>
  <r>
    <d v="2026-03-17T00:00:00"/>
    <x v="2"/>
    <x v="7"/>
    <x v="6"/>
    <m/>
    <m/>
    <m/>
    <m/>
  </r>
  <r>
    <d v="2026-03-17T00:00:00"/>
    <x v="2"/>
    <x v="7"/>
    <x v="6"/>
    <m/>
    <m/>
    <m/>
    <m/>
  </r>
  <r>
    <d v="2026-03-17T00:00:00"/>
    <x v="2"/>
    <x v="7"/>
    <x v="6"/>
    <m/>
    <m/>
    <m/>
    <m/>
  </r>
  <r>
    <d v="2026-03-17T00:00:00"/>
    <x v="2"/>
    <x v="7"/>
    <x v="6"/>
    <m/>
    <m/>
    <m/>
    <m/>
  </r>
  <r>
    <d v="2026-03-17T00:00:00"/>
    <x v="2"/>
    <x v="7"/>
    <x v="6"/>
    <m/>
    <m/>
    <m/>
    <m/>
  </r>
  <r>
    <d v="2026-03-21T00:00:00"/>
    <x v="2"/>
    <x v="7"/>
    <x v="6"/>
    <m/>
    <m/>
    <m/>
    <m/>
  </r>
  <r>
    <d v="2026-04-01T00:00:00"/>
    <x v="3"/>
    <x v="7"/>
    <x v="6"/>
    <m/>
    <m/>
    <m/>
    <m/>
  </r>
  <r>
    <d v="2026-04-21T00:00:00"/>
    <x v="3"/>
    <x v="7"/>
    <x v="6"/>
    <m/>
    <m/>
    <m/>
    <m/>
  </r>
  <r>
    <d v="2026-04-29T00:00:00"/>
    <x v="3"/>
    <x v="7"/>
    <x v="6"/>
    <m/>
    <m/>
    <m/>
    <m/>
  </r>
  <r>
    <d v="2026-05-01T00:00:00"/>
    <x v="4"/>
    <x v="7"/>
    <x v="6"/>
    <m/>
    <m/>
    <m/>
    <m/>
  </r>
  <r>
    <d v="2026-05-08T00:00:00"/>
    <x v="4"/>
    <x v="7"/>
    <x v="6"/>
    <m/>
    <m/>
    <m/>
    <m/>
  </r>
  <r>
    <d v="2026-05-12T00:00:00"/>
    <x v="4"/>
    <x v="7"/>
    <x v="6"/>
    <m/>
    <m/>
    <m/>
    <m/>
  </r>
  <r>
    <d v="2026-05-14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0T00:00:00"/>
    <x v="4"/>
    <x v="7"/>
    <x v="6"/>
    <m/>
    <m/>
    <m/>
    <m/>
  </r>
  <r>
    <d v="2026-05-21T00:00:00"/>
    <x v="4"/>
    <x v="7"/>
    <x v="6"/>
    <m/>
    <m/>
    <m/>
    <m/>
  </r>
  <r>
    <d v="2026-05-22T00:00:00"/>
    <x v="4"/>
    <x v="7"/>
    <x v="6"/>
    <m/>
    <m/>
    <m/>
    <m/>
  </r>
  <r>
    <d v="2026-06-02T00:00:00"/>
    <x v="5"/>
    <x v="7"/>
    <x v="6"/>
    <m/>
    <m/>
    <m/>
    <m/>
  </r>
  <r>
    <d v="2026-06-20T00:00:00"/>
    <x v="5"/>
    <x v="7"/>
    <x v="6"/>
    <m/>
    <m/>
    <m/>
    <m/>
  </r>
  <r>
    <d v="2026-06-23T00:00:00"/>
    <x v="5"/>
    <x v="7"/>
    <x v="6"/>
    <m/>
    <m/>
    <m/>
    <m/>
  </r>
  <r>
    <d v="2026-06-30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6-16T00:00:00"/>
    <x v="5"/>
    <x v="7"/>
    <x v="6"/>
    <m/>
    <m/>
    <m/>
    <m/>
  </r>
  <r>
    <d v="2026-07-01T00:00:00"/>
    <x v="6"/>
    <x v="7"/>
    <x v="6"/>
    <m/>
    <m/>
    <m/>
    <m/>
  </r>
  <r>
    <d v="2026-07-01T00:00:00"/>
    <x v="6"/>
    <x v="7"/>
    <x v="6"/>
    <m/>
    <m/>
    <m/>
    <m/>
  </r>
  <r>
    <d v="2026-07-22T00:00:00"/>
    <x v="6"/>
    <x v="7"/>
    <x v="6"/>
    <m/>
    <m/>
    <m/>
    <m/>
  </r>
  <r>
    <d v="2026-08-01T00:00:00"/>
    <x v="7"/>
    <x v="7"/>
    <x v="6"/>
    <m/>
    <m/>
    <m/>
    <m/>
  </r>
  <r>
    <d v="2026-08-04T00:00:00"/>
    <x v="7"/>
    <x v="7"/>
    <x v="6"/>
    <m/>
    <m/>
    <m/>
    <m/>
  </r>
  <r>
    <d v="2026-08-11T00:00:00"/>
    <x v="7"/>
    <x v="7"/>
    <x v="6"/>
    <m/>
    <m/>
    <m/>
    <m/>
  </r>
  <r>
    <d v="2026-08-20T00:00:00"/>
    <x v="7"/>
    <x v="7"/>
    <x v="6"/>
    <m/>
    <m/>
    <m/>
    <m/>
  </r>
  <r>
    <d v="2026-08-21T00:00:00"/>
    <x v="7"/>
    <x v="7"/>
    <x v="6"/>
    <m/>
    <m/>
    <m/>
    <m/>
  </r>
  <r>
    <d v="2026-09-02T00:00:00"/>
    <x v="8"/>
    <x v="7"/>
    <x v="6"/>
    <m/>
    <m/>
    <m/>
    <m/>
  </r>
  <r>
    <d v="2026-09-03T00:00:00"/>
    <x v="8"/>
    <x v="7"/>
    <x v="6"/>
    <m/>
    <m/>
    <m/>
    <m/>
  </r>
  <r>
    <d v="2026-09-10T00:00:00"/>
    <x v="8"/>
    <x v="7"/>
    <x v="6"/>
    <m/>
    <m/>
    <m/>
    <m/>
  </r>
  <r>
    <d v="2026-09-15T00:00:00"/>
    <x v="8"/>
    <x v="7"/>
    <x v="6"/>
    <m/>
    <m/>
    <m/>
    <m/>
  </r>
  <r>
    <d v="2026-09-15T00:00:00"/>
    <x v="8"/>
    <x v="7"/>
    <x v="6"/>
    <m/>
    <m/>
    <m/>
    <m/>
  </r>
  <r>
    <d v="2026-09-22T00:00:00"/>
    <x v="8"/>
    <x v="7"/>
    <x v="6"/>
    <m/>
    <m/>
    <m/>
    <m/>
  </r>
  <r>
    <d v="2026-09-24T00:00:00"/>
    <x v="8"/>
    <x v="7"/>
    <x v="6"/>
    <m/>
    <m/>
    <m/>
    <m/>
  </r>
  <r>
    <d v="2026-09-24T00:00:00"/>
    <x v="8"/>
    <x v="7"/>
    <x v="6"/>
    <m/>
    <m/>
    <m/>
    <m/>
  </r>
  <r>
    <d v="2026-10-01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14T00:00:00"/>
    <x v="9"/>
    <x v="7"/>
    <x v="6"/>
    <m/>
    <m/>
    <m/>
    <m/>
  </r>
  <r>
    <d v="2026-10-17T00:00:00"/>
    <x v="9"/>
    <x v="7"/>
    <x v="6"/>
    <m/>
    <m/>
    <m/>
    <m/>
  </r>
  <r>
    <d v="2026-10-20T00:00:00"/>
    <x v="9"/>
    <x v="7"/>
    <x v="6"/>
    <m/>
    <m/>
    <m/>
    <m/>
  </r>
  <r>
    <d v="2026-10-20T00:00:00"/>
    <x v="9"/>
    <x v="7"/>
    <x v="6"/>
    <m/>
    <m/>
    <m/>
    <m/>
  </r>
  <r>
    <d v="2026-10-22T00:00:00"/>
    <x v="9"/>
    <x v="7"/>
    <x v="6"/>
    <m/>
    <m/>
    <m/>
    <m/>
  </r>
  <r>
    <d v="2026-10-24T00:00:00"/>
    <x v="9"/>
    <x v="7"/>
    <x v="6"/>
    <m/>
    <m/>
    <m/>
    <m/>
  </r>
  <r>
    <d v="2026-10-27T00:00:00"/>
    <x v="9"/>
    <x v="7"/>
    <x v="6"/>
    <m/>
    <m/>
    <m/>
    <m/>
  </r>
  <r>
    <d v="2026-10-27T00:00:00"/>
    <x v="9"/>
    <x v="7"/>
    <x v="6"/>
    <m/>
    <m/>
    <m/>
    <m/>
  </r>
  <r>
    <d v="2026-10-29T00:00:00"/>
    <x v="9"/>
    <x v="7"/>
    <x v="6"/>
    <m/>
    <m/>
    <m/>
    <m/>
  </r>
  <r>
    <d v="2026-10-29T00:00:00"/>
    <x v="9"/>
    <x v="7"/>
    <x v="6"/>
    <m/>
    <m/>
    <m/>
    <m/>
  </r>
  <r>
    <d v="2026-10-29T00:00:00"/>
    <x v="9"/>
    <x v="7"/>
    <x v="6"/>
    <m/>
    <m/>
    <m/>
    <m/>
  </r>
  <r>
    <d v="2026-10-29T00:00:00"/>
    <x v="9"/>
    <x v="7"/>
    <x v="6"/>
    <m/>
    <m/>
    <m/>
    <m/>
  </r>
  <r>
    <d v="2026-10-29T00:00:00"/>
    <x v="9"/>
    <x v="7"/>
    <x v="6"/>
    <m/>
    <m/>
    <m/>
    <m/>
  </r>
  <r>
    <d v="2026-10-29T00:00:00"/>
    <x v="9"/>
    <x v="7"/>
    <x v="6"/>
    <m/>
    <m/>
    <m/>
    <m/>
  </r>
  <r>
    <d v="2026-10-29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0-06T00:00:00"/>
    <x v="9"/>
    <x v="7"/>
    <x v="6"/>
    <m/>
    <m/>
    <m/>
    <m/>
  </r>
  <r>
    <d v="2026-11-03T00:00:00"/>
    <x v="10"/>
    <x v="7"/>
    <x v="6"/>
    <m/>
    <m/>
    <m/>
    <m/>
  </r>
  <r>
    <d v="2026-11-03T00:00:00"/>
    <x v="10"/>
    <x v="7"/>
    <x v="6"/>
    <m/>
    <m/>
    <m/>
    <m/>
  </r>
  <r>
    <d v="2026-11-06T00:00:00"/>
    <x v="10"/>
    <x v="7"/>
    <x v="6"/>
    <m/>
    <m/>
    <m/>
    <m/>
  </r>
  <r>
    <d v="2026-11-24T00:00:00"/>
    <x v="10"/>
    <x v="7"/>
    <x v="6"/>
    <m/>
    <m/>
    <m/>
    <m/>
  </r>
  <r>
    <d v="2026-11-26T00:00:00"/>
    <x v="10"/>
    <x v="7"/>
    <x v="6"/>
    <m/>
    <m/>
    <m/>
    <m/>
  </r>
  <r>
    <d v="2026-11-08T00:00:00"/>
    <x v="10"/>
    <x v="7"/>
    <x v="6"/>
    <m/>
    <m/>
    <m/>
    <m/>
  </r>
  <r>
    <d v="2026-11-09T00:00:00"/>
    <x v="10"/>
    <x v="7"/>
    <x v="6"/>
    <m/>
    <m/>
    <m/>
    <m/>
  </r>
  <r>
    <d v="2026-11-10T00:00:00"/>
    <x v="10"/>
    <x v="7"/>
    <x v="6"/>
    <m/>
    <m/>
    <m/>
    <m/>
  </r>
  <r>
    <d v="2026-11-11T00:00:00"/>
    <x v="10"/>
    <x v="7"/>
    <x v="6"/>
    <m/>
    <m/>
    <m/>
    <m/>
  </r>
  <r>
    <d v="2026-11-12T00:00:00"/>
    <x v="10"/>
    <x v="7"/>
    <x v="7"/>
    <m/>
    <m/>
    <m/>
    <m/>
  </r>
  <r>
    <d v="2026-11-13T00:00:00"/>
    <x v="10"/>
    <x v="7"/>
    <x v="6"/>
    <m/>
    <m/>
    <m/>
    <m/>
  </r>
  <r>
    <d v="2026-11-14T00:00:00"/>
    <x v="10"/>
    <x v="7"/>
    <x v="6"/>
    <m/>
    <m/>
    <m/>
    <m/>
  </r>
  <r>
    <d v="2026-11-15T00:00:00"/>
    <x v="10"/>
    <x v="7"/>
    <x v="6"/>
    <m/>
    <m/>
    <m/>
    <m/>
  </r>
  <r>
    <d v="2026-11-16T00:00:00"/>
    <x v="10"/>
    <x v="7"/>
    <x v="6"/>
    <m/>
    <m/>
    <m/>
    <m/>
  </r>
  <r>
    <d v="2026-11-17T00:00:00"/>
    <x v="10"/>
    <x v="7"/>
    <x v="6"/>
    <m/>
    <m/>
    <m/>
    <m/>
  </r>
  <r>
    <d v="2026-11-18T00:00:00"/>
    <x v="10"/>
    <x v="7"/>
    <x v="6"/>
    <m/>
    <m/>
    <m/>
    <m/>
  </r>
  <r>
    <d v="2026-11-19T00:00:00"/>
    <x v="10"/>
    <x v="7"/>
    <x v="6"/>
    <m/>
    <m/>
    <m/>
    <m/>
  </r>
  <r>
    <d v="2026-11-20T00:00:00"/>
    <x v="10"/>
    <x v="7"/>
    <x v="6"/>
    <m/>
    <m/>
    <m/>
    <m/>
  </r>
  <r>
    <d v="2026-11-21T00:00:00"/>
    <x v="10"/>
    <x v="7"/>
    <x v="6"/>
    <m/>
    <m/>
    <m/>
    <m/>
  </r>
  <r>
    <d v="2026-11-22T00:00:00"/>
    <x v="1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0"/>
    <x v="7"/>
    <x v="6"/>
    <m/>
    <m/>
    <m/>
    <m/>
  </r>
  <r>
    <m/>
    <x v="11"/>
    <x v="7"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樞紐分析表1" cacheId="6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4:J13" firstHeaderRow="1" firstDataRow="2" firstDataCol="2"/>
  <pivotFields count="10">
    <pivotField showAll="0"/>
    <pivotField axis="axisCol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outline="0" showAll="0" defaultSubtotal="0">
      <items count="8">
        <item x="1"/>
        <item x="0"/>
        <item h="1" x="7"/>
        <item x="2"/>
        <item x="3"/>
        <item x="4"/>
        <item x="5"/>
        <item x="6"/>
      </items>
    </pivotField>
    <pivotField axis="axisRow" showAll="0">
      <items count="10">
        <item x="7"/>
        <item x="0"/>
        <item x="1"/>
        <item x="6"/>
        <item x="8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2">
    <field x="2"/>
    <field x="3"/>
  </rowFields>
  <rowItems count="8">
    <i>
      <x/>
      <x v="2"/>
    </i>
    <i>
      <x v="1"/>
      <x v="1"/>
    </i>
    <i>
      <x v="3"/>
      <x v="5"/>
    </i>
    <i>
      <x v="4"/>
      <x v="6"/>
    </i>
    <i>
      <x v="5"/>
      <x v="7"/>
    </i>
    <i>
      <x v="6"/>
      <x v="8"/>
    </i>
    <i>
      <x v="7"/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加總 - Amount" fld="4" baseField="2" baseItem="0" numFmtId="179"/>
  </dataFields>
  <formats count="12">
    <format dxfId="291">
      <pivotArea type="all" dataOnly="0" outline="0" fieldPosition="0"/>
    </format>
    <format dxfId="290">
      <pivotArea outline="0" collapsedLevelsAreSubtotals="1" fieldPosition="0"/>
    </format>
    <format dxfId="289">
      <pivotArea dataOnly="0" labelOnly="1" outline="0" axis="axisValues" fieldPosition="0"/>
    </format>
    <format dxfId="288">
      <pivotArea dataOnly="0" labelOnly="1" fieldPosition="0">
        <references count="1">
          <reference field="2" count="0"/>
        </references>
      </pivotArea>
    </format>
    <format dxfId="287">
      <pivotArea dataOnly="0" labelOnly="1" grandRow="1" outline="0" fieldPosition="0"/>
    </format>
    <format dxfId="286">
      <pivotArea dataOnly="0" labelOnly="1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285">
      <pivotArea dataOnly="0" labelOnly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284">
      <pivotArea dataOnly="0" labelOnly="1" fieldPosition="0">
        <references count="2">
          <reference field="2" count="1" selected="0">
            <x v="2"/>
          </reference>
          <reference field="3" count="3">
            <x v="0"/>
            <x v="3"/>
            <x v="4"/>
          </reference>
        </references>
      </pivotArea>
    </format>
    <format dxfId="283">
      <pivotArea collapsedLevelsAreSubtotals="1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282">
      <pivotArea collapsedLevelsAreSubtotals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281">
      <pivotArea collapsedLevelsAreSubtotals="1" fieldPosition="0">
        <references count="2">
          <reference field="2" count="1" selected="0">
            <x v="2"/>
          </reference>
          <reference field="3" count="3">
            <x v="0"/>
            <x v="3"/>
            <x v="4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樞紐分析表2" cacheId="11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3:J12" firstHeaderRow="1" firstDataRow="2" firstDataCol="2"/>
  <pivotFields count="8"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t="default"/>
      </items>
    </pivotField>
    <pivotField axis="axisRow" outline="0" showAll="0" defaultSubtotal="0">
      <items count="40">
        <item m="1" x="18"/>
        <item m="1" x="20"/>
        <item m="1" x="22"/>
        <item m="1" x="26"/>
        <item x="1"/>
        <item m="1" x="29"/>
        <item m="1" x="14"/>
        <item m="1" x="16"/>
        <item m="1" x="12"/>
        <item m="1" x="17"/>
        <item m="1" x="19"/>
        <item m="1" x="23"/>
        <item m="1" x="8"/>
        <item x="0"/>
        <item m="1" x="13"/>
        <item m="1" x="15"/>
        <item m="1" x="24"/>
        <item m="1" x="27"/>
        <item m="1" x="35"/>
        <item m="1" x="37"/>
        <item m="1" x="30"/>
        <item m="1" x="32"/>
        <item m="1" x="34"/>
        <item x="2"/>
        <item m="1" x="36"/>
        <item m="1" x="39"/>
        <item x="4"/>
        <item m="1" x="9"/>
        <item m="1" x="11"/>
        <item x="6"/>
        <item m="1" x="21"/>
        <item m="1" x="28"/>
        <item m="1" x="31"/>
        <item m="1" x="33"/>
        <item m="1" x="38"/>
        <item h="1" x="7"/>
        <item m="1" x="10"/>
        <item m="1" x="25"/>
        <item x="3"/>
        <item x="5"/>
      </items>
    </pivotField>
    <pivotField axis="axisRow" showAll="0">
      <items count="31">
        <item m="1" x="27"/>
        <item m="1" x="11"/>
        <item m="1" x="12"/>
        <item m="1" x="9"/>
        <item m="1" x="10"/>
        <item m="1" x="16"/>
        <item m="1" x="14"/>
        <item x="5"/>
        <item m="1" x="15"/>
        <item m="1" x="19"/>
        <item m="1" x="13"/>
        <item x="2"/>
        <item x="0"/>
        <item m="1" x="22"/>
        <item m="1" x="25"/>
        <item m="1" x="28"/>
        <item x="4"/>
        <item x="3"/>
        <item m="1" x="24"/>
        <item m="1" x="21"/>
        <item m="1" x="20"/>
        <item x="1"/>
        <item m="1" x="18"/>
        <item m="1" x="17"/>
        <item m="1" x="26"/>
        <item m="1" x="29"/>
        <item m="1" x="23"/>
        <item h="1" x="6"/>
        <item h="1" x="8"/>
        <item h="1" x="7"/>
        <item t="default"/>
      </items>
    </pivotField>
    <pivotField dataField="1" showAll="0"/>
    <pivotField showAll="0"/>
    <pivotField showAll="0"/>
    <pivotField showAll="0"/>
  </pivotFields>
  <rowFields count="2">
    <field x="2"/>
    <field x="3"/>
  </rowFields>
  <rowItems count="8">
    <i>
      <x v="4"/>
      <x v="21"/>
    </i>
    <i>
      <x v="13"/>
      <x v="12"/>
    </i>
    <i>
      <x v="23"/>
      <x v="11"/>
    </i>
    <i>
      <x v="26"/>
      <x v="16"/>
    </i>
    <i>
      <x v="29"/>
      <x v="11"/>
    </i>
    <i>
      <x v="38"/>
      <x v="17"/>
    </i>
    <i>
      <x v="39"/>
      <x v="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加總 - Amount" fld="4" baseField="2" baseItem="0" numFmtId="43"/>
  </dataFields>
  <formats count="86">
    <format dxfId="280">
      <pivotArea outline="0" collapsedLevelsAreSubtotals="1" fieldPosition="0"/>
    </format>
    <format dxfId="279">
      <pivotArea dataOnly="0" labelOnly="1" fieldPosition="0">
        <references count="1">
          <reference field="2" count="0"/>
        </references>
      </pivotArea>
    </format>
    <format dxfId="278">
      <pivotArea dataOnly="0" labelOnly="1" grandRow="1" outline="0" fieldPosition="0"/>
    </format>
    <format dxfId="277">
      <pivotArea dataOnly="0" labelOnly="1" fieldPosition="0">
        <references count="2">
          <reference field="2" count="1" selected="0">
            <x v="0"/>
          </reference>
          <reference field="3" count="1">
            <x v="6"/>
          </reference>
        </references>
      </pivotArea>
    </format>
    <format dxfId="276">
      <pivotArea dataOnly="0" labelOnly="1" fieldPosition="0">
        <references count="2">
          <reference field="2" count="1" selected="0">
            <x v="1"/>
          </reference>
          <reference field="3" count="1">
            <x v="18"/>
          </reference>
        </references>
      </pivotArea>
    </format>
    <format dxfId="275">
      <pivotArea dataOnly="0" labelOnly="1" fieldPosition="0">
        <references count="2">
          <reference field="2" count="1" selected="0">
            <x v="2"/>
          </reference>
          <reference field="3" count="1">
            <x v="3"/>
          </reference>
        </references>
      </pivotArea>
    </format>
    <format dxfId="274">
      <pivotArea dataOnly="0" labelOnly="1" fieldPosition="0">
        <references count="2">
          <reference field="2" count="1" selected="0">
            <x v="3"/>
          </reference>
          <reference field="3" count="1">
            <x v="10"/>
          </reference>
        </references>
      </pivotArea>
    </format>
    <format dxfId="273">
      <pivotArea dataOnly="0" labelOnly="1" fieldPosition="0">
        <references count="2">
          <reference field="2" count="1" selected="0">
            <x v="4"/>
          </reference>
          <reference field="3" count="1">
            <x v="21"/>
          </reference>
        </references>
      </pivotArea>
    </format>
    <format dxfId="272">
      <pivotArea dataOnly="0" labelOnly="1" fieldPosition="0">
        <references count="2">
          <reference field="2" count="1" selected="0">
            <x v="5"/>
          </reference>
          <reference field="3" count="1">
            <x v="22"/>
          </reference>
        </references>
      </pivotArea>
    </format>
    <format dxfId="271">
      <pivotArea dataOnly="0" labelOnly="1" fieldPosition="0">
        <references count="2">
          <reference field="2" count="1" selected="0">
            <x v="6"/>
          </reference>
          <reference field="3" count="1">
            <x v="0"/>
          </reference>
        </references>
      </pivotArea>
    </format>
    <format dxfId="270">
      <pivotArea dataOnly="0" labelOnly="1" fieldPosition="0">
        <references count="2">
          <reference field="2" count="1" selected="0">
            <x v="7"/>
          </reference>
          <reference field="3" count="1">
            <x v="1"/>
          </reference>
        </references>
      </pivotArea>
    </format>
    <format dxfId="269">
      <pivotArea dataOnly="0" labelOnly="1" fieldPosition="0">
        <references count="2">
          <reference field="2" count="1" selected="0">
            <x v="8"/>
          </reference>
          <reference field="3" count="1">
            <x v="17"/>
          </reference>
        </references>
      </pivotArea>
    </format>
    <format dxfId="268">
      <pivotArea dataOnly="0" labelOnly="1" fieldPosition="0">
        <references count="2">
          <reference field="2" count="1" selected="0">
            <x v="9"/>
          </reference>
          <reference field="3" count="1">
            <x v="20"/>
          </reference>
        </references>
      </pivotArea>
    </format>
    <format dxfId="267">
      <pivotArea dataOnly="0" labelOnly="1" fieldPosition="0">
        <references count="2">
          <reference field="2" count="1" selected="0">
            <x v="10"/>
          </reference>
          <reference field="3" count="1">
            <x v="4"/>
          </reference>
        </references>
      </pivotArea>
    </format>
    <format dxfId="266">
      <pivotArea dataOnly="0" labelOnly="1" fieldPosition="0">
        <references count="2">
          <reference field="2" count="1" selected="0">
            <x v="11"/>
          </reference>
          <reference field="3" count="1">
            <x v="11"/>
          </reference>
        </references>
      </pivotArea>
    </format>
    <format dxfId="265">
      <pivotArea dataOnly="0" labelOnly="1" fieldPosition="0">
        <references count="2">
          <reference field="2" count="1" selected="0">
            <x v="12"/>
          </reference>
          <reference field="3" count="1">
            <x v="3"/>
          </reference>
        </references>
      </pivotArea>
    </format>
    <format dxfId="264">
      <pivotArea dataOnly="0" labelOnly="1" fieldPosition="0">
        <references count="2">
          <reference field="2" count="1" selected="0">
            <x v="13"/>
          </reference>
          <reference field="3" count="1">
            <x v="12"/>
          </reference>
        </references>
      </pivotArea>
    </format>
    <format dxfId="263">
      <pivotArea dataOnly="0" labelOnly="1" fieldPosition="0">
        <references count="2">
          <reference field="2" count="1" selected="0">
            <x v="14"/>
          </reference>
          <reference field="3" count="1">
            <x v="9"/>
          </reference>
        </references>
      </pivotArea>
    </format>
    <format dxfId="262">
      <pivotArea dataOnly="0" labelOnly="1" fieldPosition="0">
        <references count="2">
          <reference field="2" count="1" selected="0">
            <x v="15"/>
          </reference>
          <reference field="3" count="1">
            <x v="11"/>
          </reference>
        </references>
      </pivotArea>
    </format>
    <format dxfId="261">
      <pivotArea dataOnly="0" labelOnly="1" fieldPosition="0">
        <references count="2">
          <reference field="2" count="1" selected="0">
            <x v="16"/>
          </reference>
          <reference field="3" count="1">
            <x v="25"/>
          </reference>
        </references>
      </pivotArea>
    </format>
    <format dxfId="260">
      <pivotArea dataOnly="0" labelOnly="1" fieldPosition="0">
        <references count="2">
          <reference field="2" count="1" selected="0">
            <x v="17"/>
          </reference>
          <reference field="3" count="1">
            <x v="14"/>
          </reference>
        </references>
      </pivotArea>
    </format>
    <format dxfId="259">
      <pivotArea dataOnly="0" labelOnly="1" fieldPosition="0">
        <references count="2">
          <reference field="2" count="1" selected="0">
            <x v="18"/>
          </reference>
          <reference field="3" count="1">
            <x v="24"/>
          </reference>
        </references>
      </pivotArea>
    </format>
    <format dxfId="258">
      <pivotArea dataOnly="0" labelOnly="1" fieldPosition="0">
        <references count="2">
          <reference field="2" count="1" selected="0">
            <x v="19"/>
          </reference>
          <reference field="3" count="1">
            <x v="6"/>
          </reference>
        </references>
      </pivotArea>
    </format>
    <format dxfId="257">
      <pivotArea dataOnly="0" labelOnly="1" fieldPosition="0">
        <references count="2">
          <reference field="2" count="1" selected="0">
            <x v="20"/>
          </reference>
          <reference field="3" count="1">
            <x v="2"/>
          </reference>
        </references>
      </pivotArea>
    </format>
    <format dxfId="256">
      <pivotArea dataOnly="0" labelOnly="1" fieldPosition="0">
        <references count="2">
          <reference field="2" count="1" selected="0">
            <x v="21"/>
          </reference>
          <reference field="3" count="1">
            <x v="5"/>
          </reference>
        </references>
      </pivotArea>
    </format>
    <format dxfId="255">
      <pivotArea dataOnly="0" labelOnly="1" fieldPosition="0">
        <references count="2">
          <reference field="2" count="1" selected="0">
            <x v="22"/>
          </reference>
          <reference field="3" count="1">
            <x v="8"/>
          </reference>
        </references>
      </pivotArea>
    </format>
    <format dxfId="254">
      <pivotArea dataOnly="0" labelOnly="1" fieldPosition="0">
        <references count="2">
          <reference field="2" count="1" selected="0">
            <x v="23"/>
          </reference>
          <reference field="3" count="1">
            <x v="11"/>
          </reference>
        </references>
      </pivotArea>
    </format>
    <format dxfId="253">
      <pivotArea dataOnly="0" labelOnly="1" fieldPosition="0">
        <references count="2">
          <reference field="2" count="1" selected="0">
            <x v="24"/>
          </reference>
          <reference field="3" count="1">
            <x v="17"/>
          </reference>
        </references>
      </pivotArea>
    </format>
    <format dxfId="252">
      <pivotArea dataOnly="0" labelOnly="1" fieldPosition="0">
        <references count="2">
          <reference field="2" count="1" selected="0">
            <x v="25"/>
          </reference>
          <reference field="3" count="1">
            <x v="7"/>
          </reference>
        </references>
      </pivotArea>
    </format>
    <format dxfId="251">
      <pivotArea dataOnly="0" labelOnly="1" fieldPosition="0">
        <references count="2">
          <reference field="2" count="1" selected="0">
            <x v="26"/>
          </reference>
          <reference field="3" count="1">
            <x v="16"/>
          </reference>
        </references>
      </pivotArea>
    </format>
    <format dxfId="250">
      <pivotArea dataOnly="0" labelOnly="1" fieldPosition="0">
        <references count="2">
          <reference field="2" count="1" selected="0">
            <x v="27"/>
          </reference>
          <reference field="3" count="1">
            <x v="15"/>
          </reference>
        </references>
      </pivotArea>
    </format>
    <format dxfId="249">
      <pivotArea dataOnly="0" labelOnly="1" fieldPosition="0">
        <references count="2">
          <reference field="2" count="1" selected="0">
            <x v="28"/>
          </reference>
          <reference field="3" count="1">
            <x v="23"/>
          </reference>
        </references>
      </pivotArea>
    </format>
    <format dxfId="248">
      <pivotArea dataOnly="0" labelOnly="1" fieldPosition="0">
        <references count="2">
          <reference field="2" count="1" selected="0">
            <x v="29"/>
          </reference>
          <reference field="3" count="1">
            <x v="11"/>
          </reference>
        </references>
      </pivotArea>
    </format>
    <format dxfId="247">
      <pivotArea dataOnly="0" labelOnly="1" fieldPosition="0">
        <references count="2">
          <reference field="2" count="1" selected="0">
            <x v="30"/>
          </reference>
          <reference field="3" count="1">
            <x v="17"/>
          </reference>
        </references>
      </pivotArea>
    </format>
    <format dxfId="246">
      <pivotArea dataOnly="0" labelOnly="1" fieldPosition="0">
        <references count="2">
          <reference field="2" count="1" selected="0">
            <x v="31"/>
          </reference>
          <reference field="3" count="1">
            <x v="26"/>
          </reference>
        </references>
      </pivotArea>
    </format>
    <format dxfId="245">
      <pivotArea dataOnly="0" labelOnly="1" fieldPosition="0">
        <references count="2">
          <reference field="2" count="1" selected="0">
            <x v="32"/>
          </reference>
          <reference field="3" count="1">
            <x v="13"/>
          </reference>
        </references>
      </pivotArea>
    </format>
    <format dxfId="244">
      <pivotArea dataOnly="0" labelOnly="1" fieldPosition="0">
        <references count="2">
          <reference field="2" count="1" selected="0">
            <x v="33"/>
          </reference>
          <reference field="3" count="1">
            <x v="11"/>
          </reference>
        </references>
      </pivotArea>
    </format>
    <format dxfId="243">
      <pivotArea dataOnly="0" labelOnly="1" fieldPosition="0">
        <references count="2">
          <reference field="2" count="1" selected="0">
            <x v="34"/>
          </reference>
          <reference field="3" count="1">
            <x v="19"/>
          </reference>
        </references>
      </pivotArea>
    </format>
    <format dxfId="242">
      <pivotArea dataOnly="0" labelOnly="1" fieldPosition="0">
        <references count="2">
          <reference field="2" count="1" selected="0">
            <x v="35"/>
          </reference>
          <reference field="3" count="2">
            <x v="27"/>
            <x v="28"/>
          </reference>
        </references>
      </pivotArea>
    </format>
    <format dxfId="241">
      <pivotArea dataOnly="0" labelOnly="1" fieldPosition="0">
        <references count="1">
          <reference field="1" count="0"/>
        </references>
      </pivotArea>
    </format>
    <format dxfId="240">
      <pivotArea dataOnly="0" labelOnly="1" grandCol="1" outline="0" fieldPosition="0"/>
    </format>
    <format dxfId="239">
      <pivotArea dataOnly="0" labelOnly="1" fieldPosition="0">
        <references count="1">
          <reference field="2" count="0"/>
        </references>
      </pivotArea>
    </format>
    <format dxfId="238">
      <pivotArea dataOnly="0" labelOnly="1" fieldPosition="0">
        <references count="2">
          <reference field="2" count="1" selected="0">
            <x v="0"/>
          </reference>
          <reference field="3" count="1">
            <x v="6"/>
          </reference>
        </references>
      </pivotArea>
    </format>
    <format dxfId="237">
      <pivotArea dataOnly="0" labelOnly="1" fieldPosition="0">
        <references count="2">
          <reference field="2" count="1" selected="0">
            <x v="1"/>
          </reference>
          <reference field="3" count="1">
            <x v="18"/>
          </reference>
        </references>
      </pivotArea>
    </format>
    <format dxfId="236">
      <pivotArea dataOnly="0" labelOnly="1" fieldPosition="0">
        <references count="2">
          <reference field="2" count="1" selected="0">
            <x v="2"/>
          </reference>
          <reference field="3" count="1">
            <x v="3"/>
          </reference>
        </references>
      </pivotArea>
    </format>
    <format dxfId="235">
      <pivotArea dataOnly="0" labelOnly="1" fieldPosition="0">
        <references count="2">
          <reference field="2" count="1" selected="0">
            <x v="3"/>
          </reference>
          <reference field="3" count="1">
            <x v="10"/>
          </reference>
        </references>
      </pivotArea>
    </format>
    <format dxfId="234">
      <pivotArea dataOnly="0" labelOnly="1" fieldPosition="0">
        <references count="2">
          <reference field="2" count="1" selected="0">
            <x v="4"/>
          </reference>
          <reference field="3" count="1">
            <x v="21"/>
          </reference>
        </references>
      </pivotArea>
    </format>
    <format dxfId="233">
      <pivotArea dataOnly="0" labelOnly="1" fieldPosition="0">
        <references count="2">
          <reference field="2" count="1" selected="0">
            <x v="5"/>
          </reference>
          <reference field="3" count="1">
            <x v="22"/>
          </reference>
        </references>
      </pivotArea>
    </format>
    <format dxfId="232">
      <pivotArea dataOnly="0" labelOnly="1" fieldPosition="0">
        <references count="2">
          <reference field="2" count="1" selected="0">
            <x v="6"/>
          </reference>
          <reference field="3" count="1">
            <x v="0"/>
          </reference>
        </references>
      </pivotArea>
    </format>
    <format dxfId="231">
      <pivotArea dataOnly="0" labelOnly="1" fieldPosition="0">
        <references count="2">
          <reference field="2" count="1" selected="0">
            <x v="7"/>
          </reference>
          <reference field="3" count="1">
            <x v="1"/>
          </reference>
        </references>
      </pivotArea>
    </format>
    <format dxfId="230">
      <pivotArea dataOnly="0" labelOnly="1" fieldPosition="0">
        <references count="2">
          <reference field="2" count="1" selected="0">
            <x v="8"/>
          </reference>
          <reference field="3" count="1">
            <x v="17"/>
          </reference>
        </references>
      </pivotArea>
    </format>
    <format dxfId="229">
      <pivotArea dataOnly="0" labelOnly="1" fieldPosition="0">
        <references count="2">
          <reference field="2" count="1" selected="0">
            <x v="9"/>
          </reference>
          <reference field="3" count="1">
            <x v="20"/>
          </reference>
        </references>
      </pivotArea>
    </format>
    <format dxfId="228">
      <pivotArea dataOnly="0" labelOnly="1" fieldPosition="0">
        <references count="2">
          <reference field="2" count="1" selected="0">
            <x v="10"/>
          </reference>
          <reference field="3" count="1">
            <x v="4"/>
          </reference>
        </references>
      </pivotArea>
    </format>
    <format dxfId="227">
      <pivotArea dataOnly="0" labelOnly="1" fieldPosition="0">
        <references count="2">
          <reference field="2" count="1" selected="0">
            <x v="11"/>
          </reference>
          <reference field="3" count="1">
            <x v="11"/>
          </reference>
        </references>
      </pivotArea>
    </format>
    <format dxfId="226">
      <pivotArea dataOnly="0" labelOnly="1" fieldPosition="0">
        <references count="2">
          <reference field="2" count="1" selected="0">
            <x v="12"/>
          </reference>
          <reference field="3" count="1">
            <x v="3"/>
          </reference>
        </references>
      </pivotArea>
    </format>
    <format dxfId="225">
      <pivotArea dataOnly="0" labelOnly="1" fieldPosition="0">
        <references count="2">
          <reference field="2" count="1" selected="0">
            <x v="13"/>
          </reference>
          <reference field="3" count="1">
            <x v="12"/>
          </reference>
        </references>
      </pivotArea>
    </format>
    <format dxfId="224">
      <pivotArea dataOnly="0" labelOnly="1" fieldPosition="0">
        <references count="2">
          <reference field="2" count="1" selected="0">
            <x v="14"/>
          </reference>
          <reference field="3" count="1">
            <x v="9"/>
          </reference>
        </references>
      </pivotArea>
    </format>
    <format dxfId="223">
      <pivotArea dataOnly="0" labelOnly="1" fieldPosition="0">
        <references count="2">
          <reference field="2" count="1" selected="0">
            <x v="15"/>
          </reference>
          <reference field="3" count="1">
            <x v="11"/>
          </reference>
        </references>
      </pivotArea>
    </format>
    <format dxfId="222">
      <pivotArea dataOnly="0" labelOnly="1" fieldPosition="0">
        <references count="2">
          <reference field="2" count="1" selected="0">
            <x v="16"/>
          </reference>
          <reference field="3" count="1">
            <x v="25"/>
          </reference>
        </references>
      </pivotArea>
    </format>
    <format dxfId="221">
      <pivotArea dataOnly="0" labelOnly="1" fieldPosition="0">
        <references count="2">
          <reference field="2" count="1" selected="0">
            <x v="17"/>
          </reference>
          <reference field="3" count="1">
            <x v="14"/>
          </reference>
        </references>
      </pivotArea>
    </format>
    <format dxfId="220">
      <pivotArea dataOnly="0" labelOnly="1" fieldPosition="0">
        <references count="2">
          <reference field="2" count="1" selected="0">
            <x v="18"/>
          </reference>
          <reference field="3" count="1">
            <x v="24"/>
          </reference>
        </references>
      </pivotArea>
    </format>
    <format dxfId="219">
      <pivotArea dataOnly="0" labelOnly="1" fieldPosition="0">
        <references count="2">
          <reference field="2" count="1" selected="0">
            <x v="19"/>
          </reference>
          <reference field="3" count="1">
            <x v="6"/>
          </reference>
        </references>
      </pivotArea>
    </format>
    <format dxfId="218">
      <pivotArea dataOnly="0" labelOnly="1" fieldPosition="0">
        <references count="2">
          <reference field="2" count="1" selected="0">
            <x v="20"/>
          </reference>
          <reference field="3" count="1">
            <x v="2"/>
          </reference>
        </references>
      </pivotArea>
    </format>
    <format dxfId="217">
      <pivotArea dataOnly="0" labelOnly="1" fieldPosition="0">
        <references count="2">
          <reference field="2" count="1" selected="0">
            <x v="21"/>
          </reference>
          <reference field="3" count="1">
            <x v="5"/>
          </reference>
        </references>
      </pivotArea>
    </format>
    <format dxfId="216">
      <pivotArea dataOnly="0" labelOnly="1" fieldPosition="0">
        <references count="2">
          <reference field="2" count="1" selected="0">
            <x v="22"/>
          </reference>
          <reference field="3" count="1">
            <x v="8"/>
          </reference>
        </references>
      </pivotArea>
    </format>
    <format dxfId="215">
      <pivotArea dataOnly="0" labelOnly="1" fieldPosition="0">
        <references count="2">
          <reference field="2" count="1" selected="0">
            <x v="23"/>
          </reference>
          <reference field="3" count="1">
            <x v="11"/>
          </reference>
        </references>
      </pivotArea>
    </format>
    <format dxfId="214">
      <pivotArea dataOnly="0" labelOnly="1" fieldPosition="0">
        <references count="2">
          <reference field="2" count="1" selected="0">
            <x v="24"/>
          </reference>
          <reference field="3" count="1">
            <x v="17"/>
          </reference>
        </references>
      </pivotArea>
    </format>
    <format dxfId="213">
      <pivotArea dataOnly="0" labelOnly="1" fieldPosition="0">
        <references count="2">
          <reference field="2" count="1" selected="0">
            <x v="25"/>
          </reference>
          <reference field="3" count="1">
            <x v="7"/>
          </reference>
        </references>
      </pivotArea>
    </format>
    <format dxfId="212">
      <pivotArea dataOnly="0" labelOnly="1" fieldPosition="0">
        <references count="2">
          <reference field="2" count="1" selected="0">
            <x v="26"/>
          </reference>
          <reference field="3" count="1">
            <x v="16"/>
          </reference>
        </references>
      </pivotArea>
    </format>
    <format dxfId="211">
      <pivotArea dataOnly="0" labelOnly="1" fieldPosition="0">
        <references count="2">
          <reference field="2" count="1" selected="0">
            <x v="27"/>
          </reference>
          <reference field="3" count="1">
            <x v="15"/>
          </reference>
        </references>
      </pivotArea>
    </format>
    <format dxfId="210">
      <pivotArea dataOnly="0" labelOnly="1" fieldPosition="0">
        <references count="2">
          <reference field="2" count="1" selected="0">
            <x v="28"/>
          </reference>
          <reference field="3" count="1">
            <x v="23"/>
          </reference>
        </references>
      </pivotArea>
    </format>
    <format dxfId="209">
      <pivotArea dataOnly="0" labelOnly="1" fieldPosition="0">
        <references count="2">
          <reference field="2" count="1" selected="0">
            <x v="29"/>
          </reference>
          <reference field="3" count="1">
            <x v="11"/>
          </reference>
        </references>
      </pivotArea>
    </format>
    <format dxfId="208">
      <pivotArea dataOnly="0" labelOnly="1" fieldPosition="0">
        <references count="2">
          <reference field="2" count="1" selected="0">
            <x v="30"/>
          </reference>
          <reference field="3" count="1">
            <x v="17"/>
          </reference>
        </references>
      </pivotArea>
    </format>
    <format dxfId="207">
      <pivotArea dataOnly="0" labelOnly="1" fieldPosition="0">
        <references count="2">
          <reference field="2" count="1" selected="0">
            <x v="31"/>
          </reference>
          <reference field="3" count="1">
            <x v="26"/>
          </reference>
        </references>
      </pivotArea>
    </format>
    <format dxfId="206">
      <pivotArea dataOnly="0" labelOnly="1" fieldPosition="0">
        <references count="2">
          <reference field="2" count="1" selected="0">
            <x v="32"/>
          </reference>
          <reference field="3" count="1">
            <x v="13"/>
          </reference>
        </references>
      </pivotArea>
    </format>
    <format dxfId="205">
      <pivotArea dataOnly="0" labelOnly="1" fieldPosition="0">
        <references count="2">
          <reference field="2" count="1" selected="0">
            <x v="33"/>
          </reference>
          <reference field="3" count="1">
            <x v="11"/>
          </reference>
        </references>
      </pivotArea>
    </format>
    <format dxfId="204">
      <pivotArea dataOnly="0" labelOnly="1" fieldPosition="0">
        <references count="2">
          <reference field="2" count="1" selected="0">
            <x v="34"/>
          </reference>
          <reference field="3" count="1">
            <x v="19"/>
          </reference>
        </references>
      </pivotArea>
    </format>
    <format dxfId="203">
      <pivotArea dataOnly="0" labelOnly="1" fieldPosition="0">
        <references count="2">
          <reference field="2" count="1" selected="0">
            <x v="35"/>
          </reference>
          <reference field="3" count="2">
            <x v="27"/>
            <x v="28"/>
          </reference>
        </references>
      </pivotArea>
    </format>
    <format dxfId="202">
      <pivotArea outline="0" collapsedLevelsAreSubtotals="1" fieldPosition="0"/>
    </format>
    <format dxfId="201">
      <pivotArea outline="0" collapsedLevelsAreSubtotals="1" fieldPosition="0"/>
    </format>
    <format dxfId="200">
      <pivotArea dataOnly="0" labelOnly="1" grandCol="1" outline="0" fieldPosition="0"/>
    </format>
    <format dxfId="199">
      <pivotArea collapsedLevelsAreSubtotals="1" fieldPosition="0">
        <references count="3">
          <reference field="1" count="1" selected="0">
            <x v="9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198">
      <pivotArea dataOnly="0" labelOnly="1" fieldPosition="0">
        <references count="1">
          <reference field="2" count="1">
            <x v="7"/>
          </reference>
        </references>
      </pivotArea>
    </format>
    <format dxfId="197">
      <pivotArea collapsedLevelsAreSubtotals="1" fieldPosition="0">
        <references count="2">
          <reference field="2" count="1" selected="0">
            <x v="7"/>
          </reference>
          <reference field="3" count="1">
            <x v="1"/>
          </reference>
        </references>
      </pivotArea>
    </format>
    <format dxfId="196">
      <pivotArea dataOnly="0" labelOnly="1" fieldPosition="0">
        <references count="2">
          <reference field="2" count="1" selected="0">
            <x v="36"/>
          </reference>
          <reference field="3" count="1">
            <x v="11"/>
          </reference>
        </references>
      </pivotArea>
    </format>
    <format dxfId="195">
      <pivotArea dataOnly="0" labelOnly="1" fieldPosition="0">
        <references count="2">
          <reference field="2" count="1" selected="0">
            <x v="37"/>
          </reference>
          <reference field="3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4"/>
  <sheetViews>
    <sheetView zoomScale="76" zoomScaleNormal="76" workbookViewId="0">
      <pane ySplit="2" topLeftCell="A9" activePane="bottomLeft" state="frozen"/>
      <selection pane="bottomLeft" activeCell="J37" sqref="J37"/>
    </sheetView>
  </sheetViews>
  <sheetFormatPr defaultRowHeight="16.2" x14ac:dyDescent="0.3"/>
  <cols>
    <col min="1" max="1" width="10.6640625" bestFit="1" customWidth="1"/>
    <col min="2" max="2" width="11.44140625" customWidth="1"/>
    <col min="3" max="3" width="6.44140625" bestFit="1" customWidth="1"/>
    <col min="4" max="4" width="52.77734375" bestFit="1" customWidth="1"/>
    <col min="5" max="5" width="12.44140625" bestFit="1" customWidth="1"/>
    <col min="6" max="6" width="34.77734375" bestFit="1" customWidth="1"/>
    <col min="7" max="7" width="31.33203125" customWidth="1"/>
    <col min="8" max="8" width="23" customWidth="1"/>
    <col min="9" max="9" width="19.21875" bestFit="1" customWidth="1"/>
    <col min="10" max="10" width="9.6640625" bestFit="1" customWidth="1"/>
  </cols>
  <sheetData>
    <row r="1" spans="1:10" ht="19.8" x14ac:dyDescent="0.4">
      <c r="A1" s="1">
        <v>2026</v>
      </c>
      <c r="B1" s="1" t="s">
        <v>185</v>
      </c>
      <c r="C1" s="1"/>
      <c r="D1" s="2"/>
      <c r="E1" s="3"/>
      <c r="F1" s="3"/>
      <c r="G1" s="3"/>
      <c r="H1" s="4"/>
    </row>
    <row r="2" spans="1:10" x14ac:dyDescent="0.25">
      <c r="A2" s="5" t="s">
        <v>0</v>
      </c>
      <c r="B2" s="6" t="s">
        <v>1</v>
      </c>
      <c r="C2" s="7" t="s">
        <v>2</v>
      </c>
      <c r="D2" s="6" t="s">
        <v>3</v>
      </c>
      <c r="E2" s="8" t="s">
        <v>4</v>
      </c>
      <c r="F2" s="48" t="s">
        <v>202</v>
      </c>
      <c r="G2" s="6" t="s">
        <v>197</v>
      </c>
      <c r="H2" s="47" t="s">
        <v>203</v>
      </c>
      <c r="I2" t="s">
        <v>225</v>
      </c>
      <c r="J2" t="s">
        <v>224</v>
      </c>
    </row>
    <row r="3" spans="1:10" x14ac:dyDescent="0.3">
      <c r="A3" s="38">
        <v>46024</v>
      </c>
      <c r="B3" s="39">
        <f t="shared" ref="B3:B26" si="0">MONTH(A3)</f>
        <v>1</v>
      </c>
      <c r="C3" s="40" t="s">
        <v>220</v>
      </c>
      <c r="D3" s="40" t="str">
        <f>VLOOKUP(C3,code!$A$2:$H$153,2,0)</f>
        <v>Payroll</v>
      </c>
      <c r="E3" s="43">
        <v>2000</v>
      </c>
      <c r="F3" s="41"/>
      <c r="G3" s="41"/>
      <c r="H3" s="40"/>
      <c r="I3" s="45"/>
      <c r="J3" s="40"/>
    </row>
    <row r="4" spans="1:10" x14ac:dyDescent="0.3">
      <c r="A4" s="38">
        <v>46044</v>
      </c>
      <c r="B4" s="39">
        <f t="shared" si="0"/>
        <v>1</v>
      </c>
      <c r="C4" s="40" t="s">
        <v>221</v>
      </c>
      <c r="D4" s="40" t="str">
        <f>VLOOKUP(C4,code!$A$2:$H$153,2,0)</f>
        <v>Utilities/Electricity, Gas, Water, Telephone</v>
      </c>
      <c r="E4" s="43">
        <v>315.61</v>
      </c>
      <c r="F4" s="41" t="s">
        <v>223</v>
      </c>
      <c r="G4" s="41"/>
      <c r="H4" s="40"/>
      <c r="I4" s="45"/>
      <c r="J4" s="40"/>
    </row>
    <row r="5" spans="1:10" x14ac:dyDescent="0.3">
      <c r="A5" s="38">
        <v>46048</v>
      </c>
      <c r="B5" s="39">
        <f t="shared" ref="B5" si="1">MONTH(A5)</f>
        <v>1</v>
      </c>
      <c r="C5" s="40" t="s">
        <v>221</v>
      </c>
      <c r="D5" s="40" t="str">
        <f>VLOOKUP(C5,code!$A$2:$H$153,2,0)</f>
        <v>Utilities/Electricity, Gas, Water, Telephone</v>
      </c>
      <c r="E5" s="43">
        <v>170.82</v>
      </c>
      <c r="F5" s="42" t="s">
        <v>222</v>
      </c>
      <c r="G5" s="41"/>
      <c r="H5" s="40"/>
      <c r="I5" s="45"/>
      <c r="J5" s="45">
        <f>SUM(E3:E5)</f>
        <v>2486.4300000000003</v>
      </c>
    </row>
    <row r="6" spans="1:10" x14ac:dyDescent="0.3">
      <c r="A6" s="79">
        <v>46055</v>
      </c>
      <c r="B6" s="80">
        <f t="shared" si="0"/>
        <v>2</v>
      </c>
      <c r="C6" s="81" t="s">
        <v>228</v>
      </c>
      <c r="D6" s="81" t="str">
        <f>VLOOKUP(C6,code!$A$2:$H$153,2,0)</f>
        <v>Payroll</v>
      </c>
      <c r="E6" s="82">
        <v>2000</v>
      </c>
      <c r="F6" s="83"/>
      <c r="G6" s="84"/>
      <c r="H6" s="81"/>
      <c r="I6" s="85"/>
      <c r="J6" s="85"/>
    </row>
    <row r="7" spans="1:10" x14ac:dyDescent="0.3">
      <c r="A7" s="79">
        <v>46073</v>
      </c>
      <c r="B7" s="80">
        <f>MONTH(A7)</f>
        <v>2</v>
      </c>
      <c r="C7" s="81" t="s">
        <v>229</v>
      </c>
      <c r="D7" s="81" t="str">
        <f>VLOOKUP(C7,code!$A$2:$H$153,2,0)</f>
        <v>Utilities/Electricity, Gas, Water, Telephone</v>
      </c>
      <c r="E7" s="82">
        <v>285.69</v>
      </c>
      <c r="F7" s="83" t="s">
        <v>230</v>
      </c>
      <c r="G7" s="84"/>
      <c r="H7" s="81"/>
      <c r="I7" s="86"/>
      <c r="J7" s="86"/>
    </row>
    <row r="8" spans="1:10" x14ac:dyDescent="0.3">
      <c r="A8" s="79">
        <v>46073</v>
      </c>
      <c r="B8" s="80">
        <f t="shared" ref="B8:B25" si="2">MONTH(A8)</f>
        <v>2</v>
      </c>
      <c r="C8" s="81" t="s">
        <v>221</v>
      </c>
      <c r="D8" s="81" t="str">
        <f>VLOOKUP(C8,code!$A$2:$H$153,2,0)</f>
        <v>Utilities/Electricity, Gas, Water, Telephone</v>
      </c>
      <c r="E8" s="82">
        <v>304.20999999999998</v>
      </c>
      <c r="F8" s="83" t="s">
        <v>223</v>
      </c>
      <c r="G8" s="84"/>
      <c r="H8" s="81"/>
      <c r="I8" s="86"/>
      <c r="J8" s="86"/>
    </row>
    <row r="9" spans="1:10" x14ac:dyDescent="0.3">
      <c r="A9" s="79">
        <v>46078</v>
      </c>
      <c r="B9" s="80">
        <f t="shared" si="2"/>
        <v>2</v>
      </c>
      <c r="C9" s="81" t="s">
        <v>221</v>
      </c>
      <c r="D9" s="81" t="str">
        <f>VLOOKUP(C9,code!$A$2:$H$153,2,0)</f>
        <v>Utilities/Electricity, Gas, Water, Telephone</v>
      </c>
      <c r="E9" s="82">
        <v>170.88</v>
      </c>
      <c r="F9" s="83" t="s">
        <v>231</v>
      </c>
      <c r="G9" s="84"/>
      <c r="H9" s="81"/>
      <c r="I9" s="86"/>
      <c r="J9" s="86">
        <f>SUM(E6:E9)</f>
        <v>2760.78</v>
      </c>
    </row>
    <row r="10" spans="1:10" x14ac:dyDescent="0.3">
      <c r="A10" s="87">
        <v>46083</v>
      </c>
      <c r="B10" s="88">
        <f t="shared" si="2"/>
        <v>3</v>
      </c>
      <c r="C10" s="89" t="s">
        <v>232</v>
      </c>
      <c r="D10" s="89" t="str">
        <f>VLOOKUP(C10,code!$A$2:$H$153,2,0)</f>
        <v>Payroll</v>
      </c>
      <c r="E10" s="90">
        <v>2000</v>
      </c>
      <c r="F10" s="91"/>
      <c r="G10" s="92"/>
      <c r="H10" s="89"/>
      <c r="I10" s="93"/>
      <c r="J10" s="94"/>
    </row>
    <row r="11" spans="1:10" x14ac:dyDescent="0.3">
      <c r="A11" s="87">
        <v>46086</v>
      </c>
      <c r="B11" s="88">
        <f t="shared" si="2"/>
        <v>3</v>
      </c>
      <c r="C11" s="89" t="s">
        <v>233</v>
      </c>
      <c r="D11" s="89" t="str">
        <f>VLOOKUP(C11,code!$A$2:$H$153,2,0)</f>
        <v>Miscellaneous/Gifts, Meals, Refreshments, Postage</v>
      </c>
      <c r="E11" s="90">
        <v>110.55</v>
      </c>
      <c r="F11" s="91" t="s">
        <v>264</v>
      </c>
      <c r="G11" s="92"/>
      <c r="H11" s="89"/>
      <c r="I11" s="93"/>
      <c r="J11" s="94"/>
    </row>
    <row r="12" spans="1:10" x14ac:dyDescent="0.3">
      <c r="A12" s="87">
        <v>46090</v>
      </c>
      <c r="B12" s="88">
        <f t="shared" si="2"/>
        <v>3</v>
      </c>
      <c r="C12" s="89" t="s">
        <v>234</v>
      </c>
      <c r="D12" s="89" t="str">
        <f>VLOOKUP(C12,code!$A$2:$H$153,2,0)</f>
        <v>Supplies</v>
      </c>
      <c r="E12" s="90">
        <v>21.55</v>
      </c>
      <c r="F12" s="91" t="s">
        <v>263</v>
      </c>
      <c r="G12" s="92"/>
      <c r="H12" s="89"/>
      <c r="I12" s="93"/>
      <c r="J12" s="94"/>
    </row>
    <row r="13" spans="1:10" x14ac:dyDescent="0.3">
      <c r="A13" s="87">
        <v>46097</v>
      </c>
      <c r="B13" s="88">
        <f t="shared" si="2"/>
        <v>3</v>
      </c>
      <c r="C13" s="89" t="s">
        <v>235</v>
      </c>
      <c r="D13" s="89" t="str">
        <f>VLOOKUP(C13,code!$A$2:$H$153,2,0)</f>
        <v>Sunday Services-Honorarium Fee, Equipment, Supplies</v>
      </c>
      <c r="E13" s="90">
        <v>200</v>
      </c>
      <c r="F13" s="91" t="s">
        <v>262</v>
      </c>
      <c r="G13" s="92"/>
      <c r="H13" s="89"/>
      <c r="I13" s="93"/>
      <c r="J13" s="94"/>
    </row>
    <row r="14" spans="1:10" x14ac:dyDescent="0.3">
      <c r="A14" s="87">
        <v>46097</v>
      </c>
      <c r="B14" s="88">
        <f t="shared" si="2"/>
        <v>3</v>
      </c>
      <c r="C14" s="89" t="s">
        <v>235</v>
      </c>
      <c r="D14" s="89" t="str">
        <f>VLOOKUP(C14,code!$A$2:$H$153,2,0)</f>
        <v>Sunday Services-Honorarium Fee, Equipment, Supplies</v>
      </c>
      <c r="E14" s="90">
        <v>200</v>
      </c>
      <c r="F14" s="91" t="s">
        <v>261</v>
      </c>
      <c r="G14" s="92"/>
      <c r="H14" s="89"/>
      <c r="I14" s="93"/>
      <c r="J14" s="94"/>
    </row>
    <row r="15" spans="1:10" x14ac:dyDescent="0.3">
      <c r="A15" s="87">
        <v>46097</v>
      </c>
      <c r="B15" s="88">
        <f t="shared" si="2"/>
        <v>3</v>
      </c>
      <c r="C15" s="89" t="s">
        <v>236</v>
      </c>
      <c r="D15" s="89" t="str">
        <f>VLOOKUP(C15,code!$A$2:$H$153,2,0)</f>
        <v>Utilities/Electricity, Gas, Water, Telephone</v>
      </c>
      <c r="E15" s="90">
        <v>672</v>
      </c>
      <c r="F15" s="91"/>
      <c r="G15" s="92"/>
      <c r="H15" s="89"/>
      <c r="I15" s="93"/>
      <c r="J15" s="94"/>
    </row>
    <row r="16" spans="1:10" x14ac:dyDescent="0.3">
      <c r="A16" s="87">
        <v>46097</v>
      </c>
      <c r="B16" s="88">
        <f t="shared" si="2"/>
        <v>3</v>
      </c>
      <c r="C16" s="89" t="s">
        <v>234</v>
      </c>
      <c r="D16" s="89" t="str">
        <f>VLOOKUP(C16,code!$A$2:$H$153,2,0)</f>
        <v>Supplies</v>
      </c>
      <c r="E16" s="90">
        <v>534.79999999999995</v>
      </c>
      <c r="F16" s="91" t="s">
        <v>260</v>
      </c>
      <c r="G16" s="92"/>
      <c r="H16" s="89"/>
      <c r="I16" s="93"/>
      <c r="J16" s="94"/>
    </row>
    <row r="17" spans="1:10" x14ac:dyDescent="0.3">
      <c r="A17" s="87">
        <v>46098</v>
      </c>
      <c r="B17" s="88">
        <f t="shared" si="2"/>
        <v>3</v>
      </c>
      <c r="C17" s="89" t="s">
        <v>237</v>
      </c>
      <c r="D17" s="89" t="str">
        <f>VLOOKUP(C17,code!$A$2:$H$153,2,0)</f>
        <v>Facilities</v>
      </c>
      <c r="E17" s="90">
        <v>21.46</v>
      </c>
      <c r="F17" s="91" t="s">
        <v>259</v>
      </c>
      <c r="G17" s="92"/>
      <c r="H17" s="89"/>
      <c r="I17" s="93"/>
      <c r="J17" s="94"/>
    </row>
    <row r="18" spans="1:10" x14ac:dyDescent="0.3">
      <c r="A18" s="87">
        <v>46101</v>
      </c>
      <c r="B18" s="88">
        <f t="shared" si="2"/>
        <v>3</v>
      </c>
      <c r="C18" s="89" t="s">
        <v>236</v>
      </c>
      <c r="D18" s="89" t="str">
        <f>VLOOKUP(C18,code!$A$2:$H$153,2,0)</f>
        <v>Utilities/Electricity, Gas, Water, Telephone</v>
      </c>
      <c r="E18" s="90">
        <v>257.13</v>
      </c>
      <c r="F18" s="91" t="s">
        <v>239</v>
      </c>
      <c r="G18" s="92"/>
      <c r="H18" s="89"/>
      <c r="I18" s="93"/>
      <c r="J18" s="94"/>
    </row>
    <row r="19" spans="1:10" x14ac:dyDescent="0.3">
      <c r="A19" s="87">
        <v>46106</v>
      </c>
      <c r="B19" s="88">
        <f t="shared" si="2"/>
        <v>3</v>
      </c>
      <c r="C19" s="89" t="s">
        <v>238</v>
      </c>
      <c r="D19" s="89" t="str">
        <f>VLOOKUP(C19,code!$A$2:$H$153,2,0)</f>
        <v>Utilities/Electricity, Gas, Water, Telephone</v>
      </c>
      <c r="E19" s="90">
        <v>170.88</v>
      </c>
      <c r="F19" s="91" t="s">
        <v>222</v>
      </c>
      <c r="G19" s="92"/>
      <c r="H19" s="89"/>
      <c r="I19" s="93"/>
      <c r="J19" s="95">
        <f>SUM(E10:E19)</f>
        <v>4188.3700000000008</v>
      </c>
    </row>
    <row r="20" spans="1:10" x14ac:dyDescent="0.3">
      <c r="A20" s="97">
        <v>46113</v>
      </c>
      <c r="B20" s="98">
        <f t="shared" si="2"/>
        <v>4</v>
      </c>
      <c r="C20" s="99" t="s">
        <v>241</v>
      </c>
      <c r="D20" s="99" t="str">
        <f>VLOOKUP(C20,code!$A$2:$H$153,2,0)</f>
        <v>Payroll</v>
      </c>
      <c r="E20" s="100">
        <v>2000</v>
      </c>
      <c r="F20" s="101"/>
      <c r="G20" s="102"/>
      <c r="H20" s="99"/>
      <c r="I20" s="103"/>
      <c r="J20" s="104"/>
    </row>
    <row r="21" spans="1:10" x14ac:dyDescent="0.3">
      <c r="A21" s="97">
        <v>46126</v>
      </c>
      <c r="B21" s="98">
        <f t="shared" si="2"/>
        <v>4</v>
      </c>
      <c r="C21" s="99" t="s">
        <v>242</v>
      </c>
      <c r="D21" s="99" t="str">
        <f>VLOOKUP(C21,code!$A$2:$H$153,2,0)</f>
        <v>Miscellaneous/Gifts, Meals, Refreshments, Postage</v>
      </c>
      <c r="E21" s="100">
        <v>90</v>
      </c>
      <c r="F21" s="101" t="s">
        <v>255</v>
      </c>
      <c r="G21" s="102"/>
      <c r="H21" s="99"/>
      <c r="I21" s="103"/>
      <c r="J21" s="104"/>
    </row>
    <row r="22" spans="1:10" x14ac:dyDescent="0.3">
      <c r="A22" s="97">
        <v>46126</v>
      </c>
      <c r="B22" s="98">
        <f t="shared" si="2"/>
        <v>4</v>
      </c>
      <c r="C22" s="99" t="s">
        <v>243</v>
      </c>
      <c r="D22" s="99" t="str">
        <f>VLOOKUP(C22,code!$A$2:$H$153,2,0)</f>
        <v>Sunday Services-Honorarium Fee, Equipment, Supplies</v>
      </c>
      <c r="E22" s="100">
        <v>200</v>
      </c>
      <c r="F22" s="101" t="s">
        <v>256</v>
      </c>
      <c r="G22" s="102"/>
      <c r="H22" s="99"/>
      <c r="I22" s="103"/>
      <c r="J22" s="104"/>
    </row>
    <row r="23" spans="1:10" x14ac:dyDescent="0.3">
      <c r="A23" s="97">
        <v>46126</v>
      </c>
      <c r="B23" s="98">
        <f t="shared" si="2"/>
        <v>4</v>
      </c>
      <c r="C23" s="99" t="s">
        <v>244</v>
      </c>
      <c r="D23" s="99" t="str">
        <f>VLOOKUP(C23,code!$A$2:$H$153,2,0)</f>
        <v>Sunday Services-Honorarium Fee, Equipment, Supplies</v>
      </c>
      <c r="E23" s="100">
        <v>200</v>
      </c>
      <c r="F23" s="101" t="s">
        <v>257</v>
      </c>
      <c r="G23" s="102"/>
      <c r="H23" s="99"/>
      <c r="I23" s="103"/>
      <c r="J23" s="104"/>
    </row>
    <row r="24" spans="1:10" x14ac:dyDescent="0.3">
      <c r="A24" s="97">
        <v>46127</v>
      </c>
      <c r="B24" s="98">
        <f t="shared" si="2"/>
        <v>4</v>
      </c>
      <c r="C24" s="99" t="s">
        <v>245</v>
      </c>
      <c r="D24" s="99" t="str">
        <f>VLOOKUP(C24,code!$A$2:$H$153,2,0)</f>
        <v>Miscellaneous/Gifts, Meals, Refreshments, Postage</v>
      </c>
      <c r="E24" s="100">
        <v>240.87</v>
      </c>
      <c r="F24" s="101" t="s">
        <v>258</v>
      </c>
      <c r="G24" s="102"/>
      <c r="H24" s="99"/>
      <c r="I24" s="103"/>
      <c r="J24" s="104"/>
    </row>
    <row r="25" spans="1:10" x14ac:dyDescent="0.3">
      <c r="A25" s="97">
        <v>46132</v>
      </c>
      <c r="B25" s="98">
        <f t="shared" si="2"/>
        <v>4</v>
      </c>
      <c r="C25" s="99" t="s">
        <v>246</v>
      </c>
      <c r="D25" s="99" t="str">
        <f>VLOOKUP(C25,code!$A$2:$H$153,2,0)</f>
        <v>Utilities/Electricity, Gas, Water, Telephone</v>
      </c>
      <c r="E25" s="100">
        <v>339.05</v>
      </c>
      <c r="F25" s="101" t="s">
        <v>247</v>
      </c>
      <c r="G25" s="102"/>
      <c r="H25" s="99"/>
      <c r="I25" s="103"/>
      <c r="J25" s="104"/>
    </row>
    <row r="26" spans="1:10" x14ac:dyDescent="0.3">
      <c r="A26" s="97">
        <v>46133</v>
      </c>
      <c r="B26" s="98">
        <f t="shared" si="0"/>
        <v>4</v>
      </c>
      <c r="C26" s="99" t="s">
        <v>246</v>
      </c>
      <c r="D26" s="99" t="str">
        <f>VLOOKUP(C26,code!$A$2:$H$153,2,0)</f>
        <v>Utilities/Electricity, Gas, Water, Telephone</v>
      </c>
      <c r="E26" s="100">
        <v>246.6</v>
      </c>
      <c r="F26" s="101" t="s">
        <v>248</v>
      </c>
      <c r="G26" s="102"/>
      <c r="H26" s="99"/>
      <c r="I26" s="105"/>
      <c r="J26" s="104"/>
    </row>
    <row r="27" spans="1:10" x14ac:dyDescent="0.3">
      <c r="A27" s="97">
        <v>46139</v>
      </c>
      <c r="B27" s="98">
        <f t="shared" ref="B27:B71" si="3">MONTH(A27)</f>
        <v>4</v>
      </c>
      <c r="C27" s="99" t="s">
        <v>246</v>
      </c>
      <c r="D27" s="99" t="str">
        <f>VLOOKUP(C27,code!$A$2:$H$153,2,0)</f>
        <v>Utilities/Electricity, Gas, Water, Telephone</v>
      </c>
      <c r="E27" s="100">
        <v>170.88</v>
      </c>
      <c r="F27" s="101" t="s">
        <v>249</v>
      </c>
      <c r="G27" s="102"/>
      <c r="H27" s="99"/>
      <c r="I27" s="106"/>
      <c r="J27" s="107">
        <f>SUM(E20:E27)</f>
        <v>3487.4</v>
      </c>
    </row>
    <row r="28" spans="1:10" x14ac:dyDescent="0.3">
      <c r="A28" s="38">
        <v>46143</v>
      </c>
      <c r="B28" s="39">
        <f t="shared" ref="B28:B29" si="4">MONTH(A28)</f>
        <v>5</v>
      </c>
      <c r="C28" s="40" t="s">
        <v>251</v>
      </c>
      <c r="D28" s="40" t="str">
        <f>VLOOKUP(C28,code!$A$2:$H$153,2,0)</f>
        <v>Payroll</v>
      </c>
      <c r="E28" s="43">
        <v>2000</v>
      </c>
      <c r="F28" s="41"/>
      <c r="G28" s="41"/>
      <c r="H28" s="40"/>
      <c r="I28" s="109"/>
      <c r="J28" s="110"/>
    </row>
    <row r="29" spans="1:10" x14ac:dyDescent="0.3">
      <c r="A29" s="38">
        <v>46160</v>
      </c>
      <c r="B29" s="39">
        <f t="shared" si="4"/>
        <v>5</v>
      </c>
      <c r="C29" s="40" t="s">
        <v>252</v>
      </c>
      <c r="D29" s="40" t="str">
        <f>VLOOKUP(C29,code!$A$2:$H$153,2,0)</f>
        <v>Miscellaneous/Gifts, Meals, Refreshments, Postage</v>
      </c>
      <c r="E29" s="43">
        <v>260.47000000000003</v>
      </c>
      <c r="F29" s="41" t="s">
        <v>254</v>
      </c>
      <c r="G29" s="41"/>
      <c r="H29" s="40"/>
      <c r="I29" s="109"/>
      <c r="J29" s="110"/>
    </row>
    <row r="30" spans="1:10" x14ac:dyDescent="0.3">
      <c r="A30" s="38">
        <v>46162</v>
      </c>
      <c r="B30" s="39">
        <f t="shared" si="3"/>
        <v>5</v>
      </c>
      <c r="C30" s="40" t="s">
        <v>253</v>
      </c>
      <c r="D30" s="40" t="str">
        <f>VLOOKUP(C30,code!$A$2:$H$153,2,0)</f>
        <v>Utilities/Electricity, Gas, Water, Telephone</v>
      </c>
      <c r="E30" s="43">
        <v>233.81</v>
      </c>
      <c r="F30" s="41" t="s">
        <v>265</v>
      </c>
      <c r="G30" s="41"/>
      <c r="H30" s="40"/>
      <c r="I30" s="109"/>
      <c r="J30" s="110"/>
    </row>
    <row r="31" spans="1:10" x14ac:dyDescent="0.3">
      <c r="A31" s="38">
        <v>46168</v>
      </c>
      <c r="B31" s="39">
        <f t="shared" si="3"/>
        <v>5</v>
      </c>
      <c r="C31" s="40" t="s">
        <v>253</v>
      </c>
      <c r="D31" s="40" t="str">
        <f>VLOOKUP(C31,code!$A$2:$H$153,2,0)</f>
        <v>Utilities/Electricity, Gas, Water, Telephone</v>
      </c>
      <c r="E31" s="43">
        <v>170.88</v>
      </c>
      <c r="F31" s="41" t="s">
        <v>266</v>
      </c>
      <c r="G31" s="41"/>
      <c r="H31" s="40"/>
      <c r="I31" s="109"/>
      <c r="J31" s="111">
        <f>SUM(E28:E31)</f>
        <v>2665.1600000000003</v>
      </c>
    </row>
    <row r="32" spans="1:10" x14ac:dyDescent="0.3">
      <c r="A32" s="112">
        <v>46174</v>
      </c>
      <c r="B32" s="113">
        <f t="shared" si="3"/>
        <v>6</v>
      </c>
      <c r="C32" s="114" t="s">
        <v>267</v>
      </c>
      <c r="D32" s="114" t="str">
        <f>VLOOKUP(C32,code!$A$2:$H$153,2,0)</f>
        <v>Payroll</v>
      </c>
      <c r="E32" s="115">
        <v>2000</v>
      </c>
      <c r="F32" s="116"/>
      <c r="G32" s="116"/>
      <c r="H32" s="116"/>
      <c r="I32" s="117"/>
      <c r="J32" s="118"/>
    </row>
    <row r="33" spans="1:10" x14ac:dyDescent="0.3">
      <c r="A33" s="112">
        <v>46195</v>
      </c>
      <c r="B33" s="113">
        <f t="shared" ref="B33" si="5">MONTH(A33)</f>
        <v>6</v>
      </c>
      <c r="C33" s="114" t="s">
        <v>268</v>
      </c>
      <c r="D33" s="114" t="str">
        <f>VLOOKUP(C33,code!$A$2:$H$153,2,0)</f>
        <v>Utilities/Electricity, Gas, Water, Telephone</v>
      </c>
      <c r="E33" s="115">
        <v>364.28</v>
      </c>
      <c r="F33" s="116" t="s">
        <v>269</v>
      </c>
      <c r="G33" s="116"/>
      <c r="H33" s="116"/>
      <c r="I33" s="117"/>
      <c r="J33" s="118"/>
    </row>
    <row r="34" spans="1:10" x14ac:dyDescent="0.3">
      <c r="A34" s="112">
        <v>46195</v>
      </c>
      <c r="B34" s="113">
        <f t="shared" si="3"/>
        <v>6</v>
      </c>
      <c r="C34" s="114" t="s">
        <v>268</v>
      </c>
      <c r="D34" s="114" t="str">
        <f>VLOOKUP(C34,code!$A$2:$H$153,2,0)</f>
        <v>Utilities/Electricity, Gas, Water, Telephone</v>
      </c>
      <c r="E34" s="115">
        <v>211.84</v>
      </c>
      <c r="F34" s="116" t="s">
        <v>270</v>
      </c>
      <c r="G34" s="116"/>
      <c r="H34" s="114"/>
      <c r="I34" s="117"/>
      <c r="J34" s="118"/>
    </row>
    <row r="35" spans="1:10" x14ac:dyDescent="0.3">
      <c r="A35" s="112">
        <v>46198</v>
      </c>
      <c r="B35" s="113">
        <f t="shared" ref="B35" si="6">MONTH(A35)</f>
        <v>6</v>
      </c>
      <c r="C35" s="114" t="s">
        <v>268</v>
      </c>
      <c r="D35" s="114" t="str">
        <f>VLOOKUP(C35,code!$A$2:$H$153,2,0)</f>
        <v>Utilities/Electricity, Gas, Water, Telephone</v>
      </c>
      <c r="E35" s="115">
        <v>170.88</v>
      </c>
      <c r="F35" s="116" t="s">
        <v>222</v>
      </c>
      <c r="G35" s="116"/>
      <c r="H35" s="114"/>
      <c r="I35" s="117"/>
      <c r="J35" s="118"/>
    </row>
    <row r="36" spans="1:10" x14ac:dyDescent="0.3">
      <c r="A36" s="112">
        <v>46203</v>
      </c>
      <c r="B36" s="113">
        <f t="shared" ref="B36:B37" si="7">MONTH(A36)</f>
        <v>6</v>
      </c>
      <c r="C36" s="114" t="s">
        <v>268</v>
      </c>
      <c r="D36" s="114" t="str">
        <f>VLOOKUP(C36,code!$A$2:$H$153,2,0)</f>
        <v>Utilities/Electricity, Gas, Water, Telephone</v>
      </c>
      <c r="E36" s="115">
        <v>682.39</v>
      </c>
      <c r="F36" s="116" t="s">
        <v>271</v>
      </c>
      <c r="G36" s="116"/>
      <c r="H36" s="114"/>
      <c r="I36" s="117"/>
      <c r="J36" s="119">
        <f>SUM(E32:E36)</f>
        <v>3429.39</v>
      </c>
    </row>
    <row r="37" spans="1:10" x14ac:dyDescent="0.3">
      <c r="A37" s="46">
        <v>46152</v>
      </c>
      <c r="B37" s="58">
        <f t="shared" si="7"/>
        <v>5</v>
      </c>
      <c r="C37" s="59"/>
      <c r="D37" s="59" t="e">
        <f>VLOOKUP(C37,code!$A$2:$H$153,2,0)</f>
        <v>#N/A</v>
      </c>
      <c r="E37" s="60"/>
      <c r="F37" s="61"/>
      <c r="G37" s="61"/>
      <c r="H37" s="59"/>
      <c r="I37" s="65"/>
    </row>
    <row r="38" spans="1:10" x14ac:dyDescent="0.3">
      <c r="A38" s="46">
        <v>46098</v>
      </c>
      <c r="B38" s="58">
        <f t="shared" si="3"/>
        <v>3</v>
      </c>
      <c r="C38" s="59"/>
      <c r="D38" s="59" t="e">
        <f>VLOOKUP(C38,code!$A$2:$H$153,2,0)</f>
        <v>#N/A</v>
      </c>
      <c r="E38" s="60"/>
      <c r="F38" s="61"/>
      <c r="G38" s="61"/>
      <c r="H38" s="59"/>
      <c r="I38" s="65"/>
    </row>
    <row r="39" spans="1:10" x14ac:dyDescent="0.3">
      <c r="A39" s="46">
        <v>46098</v>
      </c>
      <c r="B39" s="58">
        <f t="shared" si="3"/>
        <v>3</v>
      </c>
      <c r="C39" s="59"/>
      <c r="D39" s="59" t="e">
        <f>VLOOKUP(C39,code!$A$2:$H$153,2,0)</f>
        <v>#N/A</v>
      </c>
      <c r="E39" s="60"/>
      <c r="F39" s="61"/>
      <c r="G39" s="61"/>
      <c r="H39" s="59"/>
      <c r="I39" s="65"/>
    </row>
    <row r="40" spans="1:10" x14ac:dyDescent="0.3">
      <c r="A40" s="46">
        <v>46098</v>
      </c>
      <c r="B40" s="58">
        <f t="shared" si="3"/>
        <v>3</v>
      </c>
      <c r="C40" s="59"/>
      <c r="D40" s="59" t="e">
        <f>VLOOKUP(C40,code!$A$2:$H$153,2,0)</f>
        <v>#N/A</v>
      </c>
      <c r="E40" s="60"/>
      <c r="F40" s="61"/>
      <c r="G40" s="61"/>
      <c r="H40" s="59"/>
      <c r="I40" s="65"/>
    </row>
    <row r="41" spans="1:10" x14ac:dyDescent="0.3">
      <c r="A41" s="46">
        <v>46098</v>
      </c>
      <c r="B41" s="58">
        <f t="shared" si="3"/>
        <v>3</v>
      </c>
      <c r="C41" s="59"/>
      <c r="D41" s="59" t="e">
        <f>VLOOKUP(C41,code!$A$2:$H$153,2,0)</f>
        <v>#N/A</v>
      </c>
      <c r="E41" s="60"/>
      <c r="F41" s="61"/>
      <c r="G41" s="61"/>
      <c r="H41" s="59"/>
      <c r="I41" s="65"/>
    </row>
    <row r="42" spans="1:10" x14ac:dyDescent="0.3">
      <c r="A42" s="46">
        <v>46098</v>
      </c>
      <c r="B42" s="58">
        <f t="shared" si="3"/>
        <v>3</v>
      </c>
      <c r="C42" s="59"/>
      <c r="D42" s="59" t="e">
        <f>VLOOKUP(C42,code!$A$2:$H$153,2,0)</f>
        <v>#N/A</v>
      </c>
      <c r="E42" s="60"/>
      <c r="F42" s="61"/>
      <c r="G42" s="61"/>
      <c r="H42" s="59"/>
      <c r="I42" s="62"/>
    </row>
    <row r="43" spans="1:10" x14ac:dyDescent="0.3">
      <c r="A43" s="46">
        <v>46102</v>
      </c>
      <c r="B43" s="58">
        <f t="shared" si="3"/>
        <v>3</v>
      </c>
      <c r="C43" s="59"/>
      <c r="D43" s="59" t="e">
        <f>VLOOKUP(C43,code!$A$2:$H$153,2,0)</f>
        <v>#N/A</v>
      </c>
      <c r="E43" s="60"/>
      <c r="F43" s="61"/>
      <c r="G43" s="61"/>
      <c r="H43" s="61"/>
      <c r="I43" s="62"/>
    </row>
    <row r="44" spans="1:10" x14ac:dyDescent="0.3">
      <c r="A44" s="46">
        <v>46113</v>
      </c>
      <c r="B44" s="58">
        <f t="shared" si="3"/>
        <v>4</v>
      </c>
      <c r="C44" s="59"/>
      <c r="D44" s="59" t="e">
        <f>VLOOKUP(C44,code!$A$2:$H$153,2,0)</f>
        <v>#N/A</v>
      </c>
      <c r="E44" s="60"/>
      <c r="F44" s="61"/>
      <c r="G44" s="61"/>
      <c r="H44" s="59"/>
      <c r="I44" s="62"/>
    </row>
    <row r="45" spans="1:10" x14ac:dyDescent="0.3">
      <c r="A45" s="46">
        <v>46133</v>
      </c>
      <c r="B45" s="58">
        <f t="shared" si="3"/>
        <v>4</v>
      </c>
      <c r="C45" s="59"/>
      <c r="D45" s="59" t="e">
        <f>VLOOKUP(C45,code!$A$2:$H$153,2,0)</f>
        <v>#N/A</v>
      </c>
      <c r="E45" s="60"/>
      <c r="F45" s="61"/>
      <c r="G45" s="61"/>
      <c r="H45" s="59"/>
      <c r="I45" s="62"/>
    </row>
    <row r="46" spans="1:10" x14ac:dyDescent="0.3">
      <c r="A46" s="46">
        <v>46141</v>
      </c>
      <c r="B46" s="58">
        <f t="shared" si="3"/>
        <v>4</v>
      </c>
      <c r="C46" s="59"/>
      <c r="D46" s="59" t="e">
        <f>VLOOKUP(C46,code!$A$2:$H$153,2,0)</f>
        <v>#N/A</v>
      </c>
      <c r="E46" s="60"/>
      <c r="F46" s="61"/>
      <c r="G46" s="61"/>
      <c r="H46" s="61"/>
      <c r="I46" s="62"/>
    </row>
    <row r="47" spans="1:10" x14ac:dyDescent="0.3">
      <c r="A47" s="46">
        <v>46143</v>
      </c>
      <c r="B47" s="58">
        <f t="shared" si="3"/>
        <v>5</v>
      </c>
      <c r="C47" s="59"/>
      <c r="D47" s="59" t="e">
        <f>VLOOKUP(C47,code!$A$2:$H$153,2,0)</f>
        <v>#N/A</v>
      </c>
      <c r="E47" s="60"/>
      <c r="F47" s="61"/>
      <c r="G47" s="59"/>
      <c r="H47" s="59"/>
      <c r="I47" s="66"/>
    </row>
    <row r="48" spans="1:10" x14ac:dyDescent="0.3">
      <c r="A48" s="46">
        <v>46150</v>
      </c>
      <c r="B48" s="58">
        <f t="shared" si="3"/>
        <v>5</v>
      </c>
      <c r="C48" s="59"/>
      <c r="D48" s="59" t="e">
        <f>VLOOKUP(C48,code!$A$2:$H$153,2,0)</f>
        <v>#N/A</v>
      </c>
      <c r="E48" s="60"/>
      <c r="F48" s="61"/>
      <c r="G48" s="59"/>
      <c r="H48" s="59"/>
      <c r="I48" s="66"/>
    </row>
    <row r="49" spans="1:9" x14ac:dyDescent="0.3">
      <c r="A49" s="46">
        <v>46154</v>
      </c>
      <c r="B49" s="58">
        <f t="shared" si="3"/>
        <v>5</v>
      </c>
      <c r="C49" s="59"/>
      <c r="D49" s="59" t="e">
        <f>VLOOKUP(C49,code!$A$2:$H$153,2,0)</f>
        <v>#N/A</v>
      </c>
      <c r="E49" s="60"/>
      <c r="F49" s="61"/>
      <c r="G49" s="59"/>
      <c r="H49" s="59"/>
      <c r="I49" s="66"/>
    </row>
    <row r="50" spans="1:9" x14ac:dyDescent="0.3">
      <c r="A50" s="46">
        <v>46156</v>
      </c>
      <c r="B50" s="58">
        <f t="shared" si="3"/>
        <v>5</v>
      </c>
      <c r="C50" s="59"/>
      <c r="D50" s="59" t="e">
        <f>VLOOKUP(C50,code!$A$2:$H$153,2,0)</f>
        <v>#N/A</v>
      </c>
      <c r="E50" s="60"/>
      <c r="F50" s="61"/>
      <c r="G50" s="59"/>
      <c r="H50" s="59"/>
      <c r="I50" s="66"/>
    </row>
    <row r="51" spans="1:9" x14ac:dyDescent="0.3">
      <c r="A51" s="46">
        <v>46162</v>
      </c>
      <c r="B51" s="58">
        <f t="shared" si="3"/>
        <v>5</v>
      </c>
      <c r="C51" s="59"/>
      <c r="D51" s="59" t="e">
        <f>VLOOKUP(C51,code!$A$2:$H$153,2,0)</f>
        <v>#N/A</v>
      </c>
      <c r="E51" s="60"/>
      <c r="F51" s="61"/>
      <c r="G51" s="63"/>
      <c r="H51" s="59"/>
      <c r="I51" s="66"/>
    </row>
    <row r="52" spans="1:9" x14ac:dyDescent="0.3">
      <c r="A52" s="46">
        <v>46162</v>
      </c>
      <c r="B52" s="58">
        <f t="shared" si="3"/>
        <v>5</v>
      </c>
      <c r="C52" s="59"/>
      <c r="D52" s="59" t="e">
        <f>VLOOKUP(C52,code!$A$2:$H$153,2,0)</f>
        <v>#N/A</v>
      </c>
      <c r="E52" s="67"/>
      <c r="F52" s="68"/>
      <c r="G52" s="63"/>
      <c r="H52" s="59"/>
      <c r="I52" s="66"/>
    </row>
    <row r="53" spans="1:9" x14ac:dyDescent="0.3">
      <c r="A53" s="46">
        <v>46162</v>
      </c>
      <c r="B53" s="58">
        <f t="shared" si="3"/>
        <v>5</v>
      </c>
      <c r="C53" s="59"/>
      <c r="D53" s="59" t="e">
        <f>VLOOKUP(C53,code!$A$2:$H$153,2,0)</f>
        <v>#N/A</v>
      </c>
      <c r="E53" s="67"/>
      <c r="F53" s="68"/>
      <c r="G53" s="63"/>
      <c r="H53" s="61"/>
      <c r="I53" s="66"/>
    </row>
    <row r="54" spans="1:9" x14ac:dyDescent="0.3">
      <c r="A54" s="46">
        <v>46162</v>
      </c>
      <c r="B54" s="58">
        <f t="shared" si="3"/>
        <v>5</v>
      </c>
      <c r="C54" s="59"/>
      <c r="D54" s="59" t="e">
        <f>VLOOKUP(C54,code!$A$2:$H$153,2,0)</f>
        <v>#N/A</v>
      </c>
      <c r="E54" s="67"/>
      <c r="F54" s="68"/>
      <c r="G54" s="63"/>
      <c r="H54" s="59"/>
      <c r="I54" s="66"/>
    </row>
    <row r="55" spans="1:9" x14ac:dyDescent="0.3">
      <c r="A55" s="46">
        <v>46162</v>
      </c>
      <c r="B55" s="58">
        <f t="shared" si="3"/>
        <v>5</v>
      </c>
      <c r="C55" s="59"/>
      <c r="D55" s="59" t="e">
        <f>VLOOKUP(C55,code!$A$2:$H$153,2,0)</f>
        <v>#N/A</v>
      </c>
      <c r="E55" s="67"/>
      <c r="F55" s="68"/>
      <c r="G55" s="63"/>
      <c r="H55" s="59"/>
      <c r="I55" s="66"/>
    </row>
    <row r="56" spans="1:9" x14ac:dyDescent="0.3">
      <c r="A56" s="46">
        <v>46162</v>
      </c>
      <c r="B56" s="58">
        <f t="shared" si="3"/>
        <v>5</v>
      </c>
      <c r="C56" s="59"/>
      <c r="D56" s="59" t="e">
        <f>VLOOKUP(C56,code!$A$2:$H$153,2,0)</f>
        <v>#N/A</v>
      </c>
      <c r="E56" s="67"/>
      <c r="F56" s="68"/>
      <c r="G56" s="63"/>
      <c r="H56" s="59"/>
      <c r="I56" s="66"/>
    </row>
    <row r="57" spans="1:9" x14ac:dyDescent="0.3">
      <c r="A57" s="46">
        <v>46162</v>
      </c>
      <c r="B57" s="58">
        <f t="shared" si="3"/>
        <v>5</v>
      </c>
      <c r="C57" s="59"/>
      <c r="D57" s="59" t="e">
        <f>VLOOKUP(C57,code!$A$2:$H$153,2,0)</f>
        <v>#N/A</v>
      </c>
      <c r="E57" s="68"/>
      <c r="F57" s="59"/>
      <c r="G57" s="63"/>
      <c r="H57" s="59"/>
      <c r="I57" s="66"/>
    </row>
    <row r="58" spans="1:9" x14ac:dyDescent="0.3">
      <c r="A58" s="46">
        <v>46162</v>
      </c>
      <c r="B58" s="58">
        <f t="shared" si="3"/>
        <v>5</v>
      </c>
      <c r="C58" s="59"/>
      <c r="D58" s="59" t="e">
        <f>VLOOKUP(C58,code!$A$2:$H$153,2,0)</f>
        <v>#N/A</v>
      </c>
      <c r="E58" s="60"/>
      <c r="F58" s="61"/>
      <c r="G58" s="70"/>
      <c r="H58" s="59"/>
      <c r="I58" s="66"/>
    </row>
    <row r="59" spans="1:9" x14ac:dyDescent="0.3">
      <c r="A59" s="46">
        <v>46162</v>
      </c>
      <c r="B59" s="58">
        <f t="shared" si="3"/>
        <v>5</v>
      </c>
      <c r="C59" s="59"/>
      <c r="D59" s="59" t="e">
        <f>VLOOKUP(C59,code!$A$2:$H$153,2,0)</f>
        <v>#N/A</v>
      </c>
      <c r="E59" s="60"/>
      <c r="F59" s="61"/>
      <c r="G59" s="70"/>
      <c r="H59" s="59"/>
      <c r="I59" s="66"/>
    </row>
    <row r="60" spans="1:9" x14ac:dyDescent="0.3">
      <c r="A60" s="46">
        <v>46162</v>
      </c>
      <c r="B60" s="58">
        <f t="shared" si="3"/>
        <v>5</v>
      </c>
      <c r="C60" s="59"/>
      <c r="D60" s="59" t="e">
        <f>VLOOKUP(C60,code!$A$2:$H$153,2,0)</f>
        <v>#N/A</v>
      </c>
      <c r="E60" s="60"/>
      <c r="F60" s="61"/>
      <c r="G60" s="70"/>
      <c r="H60" s="59"/>
      <c r="I60" s="66"/>
    </row>
    <row r="61" spans="1:9" x14ac:dyDescent="0.3">
      <c r="A61" s="46">
        <v>46162</v>
      </c>
      <c r="B61" s="58">
        <f t="shared" si="3"/>
        <v>5</v>
      </c>
      <c r="C61" s="59"/>
      <c r="D61" s="59" t="e">
        <f>VLOOKUP(C61,code!$A$2:$H$153,2,0)</f>
        <v>#N/A</v>
      </c>
      <c r="E61" s="60"/>
      <c r="F61" s="61"/>
      <c r="G61" s="70"/>
      <c r="H61" s="59"/>
      <c r="I61" s="66"/>
    </row>
    <row r="62" spans="1:9" x14ac:dyDescent="0.3">
      <c r="A62" s="46">
        <v>46162</v>
      </c>
      <c r="B62" s="58">
        <f t="shared" si="3"/>
        <v>5</v>
      </c>
      <c r="C62" s="59"/>
      <c r="D62" s="59" t="e">
        <f>VLOOKUP(C62,code!$A$2:$H$153,2,0)</f>
        <v>#N/A</v>
      </c>
      <c r="E62" s="60"/>
      <c r="F62" s="61"/>
      <c r="G62" s="70"/>
      <c r="H62" s="59"/>
      <c r="I62" s="66"/>
    </row>
    <row r="63" spans="1:9" x14ac:dyDescent="0.3">
      <c r="A63" s="46">
        <v>46162</v>
      </c>
      <c r="B63" s="58">
        <f t="shared" si="3"/>
        <v>5</v>
      </c>
      <c r="C63" s="59"/>
      <c r="D63" s="59" t="e">
        <f>VLOOKUP(C63,code!$A$2:$H$153,2,0)</f>
        <v>#N/A</v>
      </c>
      <c r="E63" s="60"/>
      <c r="F63" s="61"/>
      <c r="G63" s="70"/>
      <c r="H63" s="59"/>
      <c r="I63" s="66"/>
    </row>
    <row r="64" spans="1:9" x14ac:dyDescent="0.3">
      <c r="A64" s="46">
        <v>46162</v>
      </c>
      <c r="B64" s="58">
        <f t="shared" si="3"/>
        <v>5</v>
      </c>
      <c r="C64" s="59"/>
      <c r="D64" s="59" t="e">
        <f>VLOOKUP(C64,code!$A$2:$H$153,2,0)</f>
        <v>#N/A</v>
      </c>
      <c r="E64" s="60"/>
      <c r="F64" s="61"/>
      <c r="G64" s="70"/>
      <c r="H64" s="59"/>
      <c r="I64" s="66"/>
    </row>
    <row r="65" spans="1:9" x14ac:dyDescent="0.3">
      <c r="A65" s="46">
        <v>46162</v>
      </c>
      <c r="B65" s="58">
        <f t="shared" si="3"/>
        <v>5</v>
      </c>
      <c r="C65" s="59"/>
      <c r="D65" s="59" t="e">
        <f>VLOOKUP(C65,code!$A$2:$H$153,2,0)</f>
        <v>#N/A</v>
      </c>
      <c r="E65" s="60"/>
      <c r="F65" s="61"/>
      <c r="G65" s="70"/>
      <c r="H65" s="59"/>
      <c r="I65" s="66"/>
    </row>
    <row r="66" spans="1:9" x14ac:dyDescent="0.3">
      <c r="A66" s="46">
        <v>46162</v>
      </c>
      <c r="B66" s="58">
        <f t="shared" si="3"/>
        <v>5</v>
      </c>
      <c r="C66" s="59"/>
      <c r="D66" s="59" t="e">
        <f>VLOOKUP(C66,code!$A$2:$H$153,2,0)</f>
        <v>#N/A</v>
      </c>
      <c r="E66" s="60"/>
      <c r="F66" s="69"/>
      <c r="G66" s="70"/>
      <c r="H66" s="59"/>
      <c r="I66" s="66"/>
    </row>
    <row r="67" spans="1:9" x14ac:dyDescent="0.3">
      <c r="A67" s="46">
        <v>46162</v>
      </c>
      <c r="B67" s="58">
        <f t="shared" si="3"/>
        <v>5</v>
      </c>
      <c r="C67" s="59"/>
      <c r="D67" s="59" t="e">
        <f>VLOOKUP(C67,code!$A$2:$H$153,2,0)</f>
        <v>#N/A</v>
      </c>
      <c r="E67" s="60"/>
      <c r="F67" s="61"/>
      <c r="G67" s="63"/>
      <c r="H67" s="59"/>
      <c r="I67" s="66"/>
    </row>
    <row r="68" spans="1:9" x14ac:dyDescent="0.3">
      <c r="A68" s="46">
        <v>46162</v>
      </c>
      <c r="B68" s="58">
        <f t="shared" si="3"/>
        <v>5</v>
      </c>
      <c r="C68" s="59"/>
      <c r="D68" s="59" t="e">
        <f>VLOOKUP(C68,code!$A$2:$H$153,2,0)</f>
        <v>#N/A</v>
      </c>
      <c r="E68" s="60"/>
      <c r="F68" s="61"/>
      <c r="G68" s="63"/>
      <c r="H68" s="61"/>
      <c r="I68" s="66"/>
    </row>
    <row r="69" spans="1:9" x14ac:dyDescent="0.3">
      <c r="A69" s="46">
        <v>46162</v>
      </c>
      <c r="B69" s="58">
        <f t="shared" si="3"/>
        <v>5</v>
      </c>
      <c r="C69" s="59"/>
      <c r="D69" s="59" t="e">
        <f>VLOOKUP(C69,code!$A$2:$H$153,2,0)</f>
        <v>#N/A</v>
      </c>
      <c r="E69" s="60"/>
      <c r="F69" s="61"/>
      <c r="G69" s="63"/>
      <c r="H69" s="61"/>
      <c r="I69" s="64"/>
    </row>
    <row r="70" spans="1:9" x14ac:dyDescent="0.3">
      <c r="A70" s="46">
        <v>46163</v>
      </c>
      <c r="B70" s="58">
        <f t="shared" si="3"/>
        <v>5</v>
      </c>
      <c r="C70" s="59"/>
      <c r="D70" s="59" t="e">
        <f>VLOOKUP(C70,code!$A$2:$H$153,2,0)</f>
        <v>#N/A</v>
      </c>
      <c r="E70" s="61"/>
      <c r="F70" s="59"/>
      <c r="G70" s="59"/>
      <c r="H70" s="71"/>
      <c r="I70" s="62"/>
    </row>
    <row r="71" spans="1:9" x14ac:dyDescent="0.3">
      <c r="A71" s="46">
        <v>46164</v>
      </c>
      <c r="B71" s="58">
        <f t="shared" si="3"/>
        <v>5</v>
      </c>
      <c r="C71" s="59"/>
      <c r="D71" s="59" t="e">
        <f>VLOOKUP(C71,code!$A$2:$H$153,2,0)</f>
        <v>#N/A</v>
      </c>
      <c r="E71" s="61"/>
      <c r="F71" s="59"/>
      <c r="G71" s="64"/>
      <c r="H71" s="64"/>
      <c r="I71" s="62"/>
    </row>
    <row r="72" spans="1:9" x14ac:dyDescent="0.3">
      <c r="A72" s="46">
        <v>46175</v>
      </c>
      <c r="B72" s="58">
        <f t="shared" ref="B72:B76" si="8">MONTH(A72)</f>
        <v>6</v>
      </c>
      <c r="C72" s="59"/>
      <c r="D72" s="59" t="e">
        <f>VLOOKUP(C72,code!$A$2:$H$153,2,0)</f>
        <v>#N/A</v>
      </c>
      <c r="E72" s="61"/>
      <c r="F72" s="61"/>
      <c r="G72" s="61"/>
      <c r="H72" s="59"/>
      <c r="I72" s="59"/>
    </row>
    <row r="73" spans="1:9" x14ac:dyDescent="0.3">
      <c r="A73" s="46">
        <v>46193</v>
      </c>
      <c r="B73" s="58">
        <f t="shared" si="8"/>
        <v>6</v>
      </c>
      <c r="C73" s="59"/>
      <c r="D73" s="59" t="e">
        <f>VLOOKUP(C73,code!$A$2:$H$153,2,0)</f>
        <v>#N/A</v>
      </c>
      <c r="E73" s="61"/>
      <c r="F73" s="61"/>
      <c r="G73" s="61"/>
      <c r="H73" s="59"/>
      <c r="I73" s="59"/>
    </row>
    <row r="74" spans="1:9" x14ac:dyDescent="0.3">
      <c r="A74" s="46">
        <v>46196</v>
      </c>
      <c r="B74" s="58">
        <f t="shared" si="8"/>
        <v>6</v>
      </c>
      <c r="C74" s="59"/>
      <c r="D74" s="59" t="e">
        <f>VLOOKUP(C74,code!$A$2:$H$153,2,0)</f>
        <v>#N/A</v>
      </c>
      <c r="E74" s="61"/>
      <c r="F74" s="61"/>
      <c r="G74" s="61"/>
      <c r="H74" s="59"/>
      <c r="I74" s="59"/>
    </row>
    <row r="75" spans="1:9" x14ac:dyDescent="0.3">
      <c r="A75" s="46">
        <v>46203</v>
      </c>
      <c r="B75" s="58">
        <f t="shared" si="8"/>
        <v>6</v>
      </c>
      <c r="C75" s="59"/>
      <c r="D75" s="59" t="e">
        <f>VLOOKUP(C75,code!$A$2:$H$153,2,0)</f>
        <v>#N/A</v>
      </c>
      <c r="E75" s="61"/>
      <c r="F75" s="61"/>
      <c r="G75" s="61"/>
      <c r="H75" s="59"/>
      <c r="I75" s="59"/>
    </row>
    <row r="76" spans="1:9" x14ac:dyDescent="0.3">
      <c r="A76" s="46">
        <v>46189</v>
      </c>
      <c r="B76" s="58">
        <f t="shared" si="8"/>
        <v>6</v>
      </c>
      <c r="C76" s="59"/>
      <c r="D76" s="59" t="e">
        <f>VLOOKUP(C76,code!$A$2:$H$153,2,0)</f>
        <v>#N/A</v>
      </c>
      <c r="E76" s="61"/>
      <c r="F76" s="61"/>
      <c r="G76" s="61"/>
      <c r="H76" s="72"/>
      <c r="I76" s="73"/>
    </row>
    <row r="77" spans="1:9" x14ac:dyDescent="0.3">
      <c r="A77" s="46">
        <v>46189</v>
      </c>
      <c r="B77" s="58">
        <f t="shared" ref="B77:B110" si="9">MONTH(A77)</f>
        <v>6</v>
      </c>
      <c r="C77" s="59"/>
      <c r="D77" s="59" t="e">
        <f>VLOOKUP(C77,code!$A$2:$H$153,2,0)</f>
        <v>#N/A</v>
      </c>
      <c r="E77" s="61"/>
      <c r="F77" s="61"/>
      <c r="G77" s="61"/>
      <c r="H77" s="61"/>
      <c r="I77" s="73"/>
    </row>
    <row r="78" spans="1:9" x14ac:dyDescent="0.3">
      <c r="A78" s="46">
        <v>46189</v>
      </c>
      <c r="B78" s="58">
        <f t="shared" si="9"/>
        <v>6</v>
      </c>
      <c r="C78" s="59"/>
      <c r="D78" s="59" t="e">
        <f>VLOOKUP(C78,code!$A$2:$H$153,2,0)</f>
        <v>#N/A</v>
      </c>
      <c r="E78" s="61"/>
      <c r="F78" s="61"/>
      <c r="G78" s="63"/>
      <c r="H78" s="59"/>
      <c r="I78" s="73"/>
    </row>
    <row r="79" spans="1:9" x14ac:dyDescent="0.3">
      <c r="A79" s="46">
        <v>46189</v>
      </c>
      <c r="B79" s="58">
        <f t="shared" si="9"/>
        <v>6</v>
      </c>
      <c r="C79" s="59"/>
      <c r="D79" s="59" t="e">
        <f>VLOOKUP(C79,code!$A$2:$H$153,2,0)</f>
        <v>#N/A</v>
      </c>
      <c r="E79" s="61"/>
      <c r="F79" s="61"/>
      <c r="G79" s="63"/>
      <c r="H79" s="59"/>
      <c r="I79" s="73"/>
    </row>
    <row r="80" spans="1:9" x14ac:dyDescent="0.3">
      <c r="A80" s="46">
        <v>46189</v>
      </c>
      <c r="B80" s="58">
        <f t="shared" si="9"/>
        <v>6</v>
      </c>
      <c r="C80" s="59"/>
      <c r="D80" s="59" t="e">
        <f>VLOOKUP(C80,code!$A$2:$H$153,2,0)</f>
        <v>#N/A</v>
      </c>
      <c r="E80" s="61"/>
      <c r="F80" s="61"/>
      <c r="G80" s="63"/>
      <c r="H80" s="59"/>
      <c r="I80" s="73"/>
    </row>
    <row r="81" spans="1:9" x14ac:dyDescent="0.3">
      <c r="A81" s="46">
        <v>46189</v>
      </c>
      <c r="B81" s="58">
        <f t="shared" si="9"/>
        <v>6</v>
      </c>
      <c r="C81" s="59"/>
      <c r="D81" s="59" t="e">
        <f>VLOOKUP(C81,code!$A$2:$H$153,2,0)</f>
        <v>#N/A</v>
      </c>
      <c r="E81" s="61"/>
      <c r="F81" s="61"/>
      <c r="G81" s="63"/>
      <c r="H81" s="59"/>
      <c r="I81" s="73"/>
    </row>
    <row r="82" spans="1:9" x14ac:dyDescent="0.3">
      <c r="A82" s="46">
        <v>46189</v>
      </c>
      <c r="B82" s="58">
        <f t="shared" si="9"/>
        <v>6</v>
      </c>
      <c r="C82" s="59"/>
      <c r="D82" s="59" t="e">
        <f>VLOOKUP(C82,code!$A$2:$H$153,2,0)</f>
        <v>#N/A</v>
      </c>
      <c r="E82" s="61"/>
      <c r="F82" s="61"/>
      <c r="G82" s="63"/>
      <c r="H82" s="59"/>
      <c r="I82" s="73"/>
    </row>
    <row r="83" spans="1:9" x14ac:dyDescent="0.3">
      <c r="A83" s="46">
        <v>46189</v>
      </c>
      <c r="B83" s="58">
        <f t="shared" si="9"/>
        <v>6</v>
      </c>
      <c r="C83" s="59"/>
      <c r="D83" s="59" t="e">
        <f>VLOOKUP(C83,code!$A$2:$H$153,2,0)</f>
        <v>#N/A</v>
      </c>
      <c r="E83" s="61"/>
      <c r="F83" s="61"/>
      <c r="G83" s="63"/>
      <c r="H83" s="59"/>
      <c r="I83" s="73"/>
    </row>
    <row r="84" spans="1:9" x14ac:dyDescent="0.3">
      <c r="A84" s="46">
        <v>46189</v>
      </c>
      <c r="B84" s="58">
        <f t="shared" si="9"/>
        <v>6</v>
      </c>
      <c r="C84" s="59"/>
      <c r="D84" s="59" t="e">
        <f>VLOOKUP(C84,code!$A$2:$H$153,2,0)</f>
        <v>#N/A</v>
      </c>
      <c r="E84" s="60"/>
      <c r="F84" s="61"/>
      <c r="G84" s="63"/>
      <c r="H84" s="59"/>
      <c r="I84" s="73"/>
    </row>
    <row r="85" spans="1:9" x14ac:dyDescent="0.3">
      <c r="A85" s="46">
        <v>46189</v>
      </c>
      <c r="B85" s="58">
        <f t="shared" si="9"/>
        <v>6</v>
      </c>
      <c r="C85" s="59"/>
      <c r="D85" s="59" t="e">
        <f>VLOOKUP(C85,code!$A$2:$H$153,2,0)</f>
        <v>#N/A</v>
      </c>
      <c r="E85" s="60"/>
      <c r="F85" s="61"/>
      <c r="G85" s="63"/>
      <c r="H85" s="59"/>
      <c r="I85" s="73"/>
    </row>
    <row r="86" spans="1:9" x14ac:dyDescent="0.3">
      <c r="A86" s="46">
        <v>46189</v>
      </c>
      <c r="B86" s="58">
        <f t="shared" si="9"/>
        <v>6</v>
      </c>
      <c r="C86" s="59"/>
      <c r="D86" s="59" t="e">
        <f>VLOOKUP(C86,code!$A$2:$H$153,2,0)</f>
        <v>#N/A</v>
      </c>
      <c r="E86" s="60"/>
      <c r="F86" s="61"/>
      <c r="G86" s="63"/>
      <c r="H86" s="61"/>
      <c r="I86" s="73"/>
    </row>
    <row r="87" spans="1:9" x14ac:dyDescent="0.3">
      <c r="A87" s="46">
        <v>46189</v>
      </c>
      <c r="B87" s="58">
        <f t="shared" si="9"/>
        <v>6</v>
      </c>
      <c r="C87" s="59"/>
      <c r="D87" s="59" t="e">
        <f>VLOOKUP(C87,code!$A$2:$H$153,2,0)</f>
        <v>#N/A</v>
      </c>
      <c r="E87" s="60"/>
      <c r="F87" s="61"/>
      <c r="G87" s="63"/>
      <c r="H87" s="59"/>
      <c r="I87" s="73"/>
    </row>
    <row r="88" spans="1:9" x14ac:dyDescent="0.3">
      <c r="A88" s="46">
        <v>46189</v>
      </c>
      <c r="B88" s="58">
        <f t="shared" si="9"/>
        <v>6</v>
      </c>
      <c r="C88" s="59"/>
      <c r="D88" s="59" t="e">
        <f>VLOOKUP(C88,code!$A$2:$H$153,2,0)</f>
        <v>#N/A</v>
      </c>
      <c r="E88" s="60"/>
      <c r="F88" s="61"/>
      <c r="G88" s="63"/>
      <c r="H88" s="59"/>
      <c r="I88" s="73"/>
    </row>
    <row r="89" spans="1:9" x14ac:dyDescent="0.3">
      <c r="A89" s="46">
        <v>46189</v>
      </c>
      <c r="B89" s="58">
        <f t="shared" si="9"/>
        <v>6</v>
      </c>
      <c r="C89" s="59"/>
      <c r="D89" s="59" t="e">
        <f>VLOOKUP(C89,code!$A$2:$H$153,2,0)</f>
        <v>#N/A</v>
      </c>
      <c r="E89" s="60"/>
      <c r="F89" s="61"/>
      <c r="G89" s="63"/>
      <c r="H89" s="61"/>
      <c r="I89" s="73"/>
    </row>
    <row r="90" spans="1:9" x14ac:dyDescent="0.3">
      <c r="A90" s="46">
        <v>46189</v>
      </c>
      <c r="B90" s="58">
        <f t="shared" si="9"/>
        <v>6</v>
      </c>
      <c r="C90" s="59"/>
      <c r="D90" s="59" t="e">
        <f>VLOOKUP(C90,code!$A$2:$H$153,2,0)</f>
        <v>#N/A</v>
      </c>
      <c r="E90" s="60"/>
      <c r="F90" s="61"/>
      <c r="G90" s="63"/>
      <c r="H90" s="59"/>
      <c r="I90" s="73"/>
    </row>
    <row r="91" spans="1:9" x14ac:dyDescent="0.3">
      <c r="A91" s="46">
        <v>46189</v>
      </c>
      <c r="B91" s="58">
        <f t="shared" si="9"/>
        <v>6</v>
      </c>
      <c r="C91" s="59"/>
      <c r="D91" s="59" t="e">
        <f>VLOOKUP(C91,code!$A$2:$H$153,2,0)</f>
        <v>#N/A</v>
      </c>
      <c r="E91" s="60"/>
      <c r="F91" s="61"/>
      <c r="G91" s="63"/>
      <c r="H91" s="59"/>
      <c r="I91" s="73"/>
    </row>
    <row r="92" spans="1:9" x14ac:dyDescent="0.3">
      <c r="A92" s="46">
        <v>46189</v>
      </c>
      <c r="B92" s="58">
        <f t="shared" si="9"/>
        <v>6</v>
      </c>
      <c r="C92" s="59"/>
      <c r="D92" s="59" t="e">
        <f>VLOOKUP(C92,code!$A$2:$H$153,2,0)</f>
        <v>#N/A</v>
      </c>
      <c r="E92" s="60"/>
      <c r="F92" s="61"/>
      <c r="G92" s="63"/>
      <c r="H92" s="61"/>
      <c r="I92" s="73"/>
    </row>
    <row r="93" spans="1:9" x14ac:dyDescent="0.3">
      <c r="A93" s="46">
        <v>46189</v>
      </c>
      <c r="B93" s="58">
        <f t="shared" si="9"/>
        <v>6</v>
      </c>
      <c r="C93" s="59"/>
      <c r="D93" s="59" t="e">
        <f>VLOOKUP(C93,code!$A$2:$H$153,2,0)</f>
        <v>#N/A</v>
      </c>
      <c r="E93" s="60"/>
      <c r="F93" s="61"/>
      <c r="G93" s="63"/>
      <c r="H93" s="59"/>
      <c r="I93" s="73"/>
    </row>
    <row r="94" spans="1:9" x14ac:dyDescent="0.3">
      <c r="A94" s="46">
        <v>46189</v>
      </c>
      <c r="B94" s="58">
        <f t="shared" si="9"/>
        <v>6</v>
      </c>
      <c r="C94" s="59"/>
      <c r="D94" s="59" t="e">
        <f>VLOOKUP(C94,code!$A$2:$H$153,2,0)</f>
        <v>#N/A</v>
      </c>
      <c r="E94" s="60"/>
      <c r="F94" s="61"/>
      <c r="G94" s="63"/>
      <c r="H94" s="59"/>
      <c r="I94" s="73"/>
    </row>
    <row r="95" spans="1:9" x14ac:dyDescent="0.3">
      <c r="A95" s="46">
        <v>46189</v>
      </c>
      <c r="B95" s="58">
        <f t="shared" si="9"/>
        <v>6</v>
      </c>
      <c r="C95" s="59"/>
      <c r="D95" s="59" t="e">
        <f>VLOOKUP(C95,code!$A$2:$H$153,2,0)</f>
        <v>#N/A</v>
      </c>
      <c r="E95" s="60"/>
      <c r="F95" s="61"/>
      <c r="G95" s="63"/>
      <c r="H95" s="59"/>
      <c r="I95" s="73"/>
    </row>
    <row r="96" spans="1:9" x14ac:dyDescent="0.3">
      <c r="A96" s="46">
        <v>46189</v>
      </c>
      <c r="B96" s="58">
        <f t="shared" si="9"/>
        <v>6</v>
      </c>
      <c r="C96" s="59"/>
      <c r="D96" s="59" t="e">
        <f>VLOOKUP(C96,code!$A$2:$H$153,2,0)</f>
        <v>#N/A</v>
      </c>
      <c r="E96" s="60"/>
      <c r="F96" s="61"/>
      <c r="G96" s="63"/>
      <c r="H96" s="59"/>
      <c r="I96" s="73"/>
    </row>
    <row r="97" spans="1:9" x14ac:dyDescent="0.3">
      <c r="A97" s="46">
        <v>46189</v>
      </c>
      <c r="B97" s="58">
        <f t="shared" si="9"/>
        <v>6</v>
      </c>
      <c r="C97" s="59"/>
      <c r="D97" s="59" t="e">
        <f>VLOOKUP(C97,code!$A$2:$H$153,2,0)</f>
        <v>#N/A</v>
      </c>
      <c r="E97" s="60"/>
      <c r="F97" s="61"/>
      <c r="G97" s="63"/>
      <c r="H97" s="61"/>
      <c r="I97" s="73"/>
    </row>
    <row r="98" spans="1:9" x14ac:dyDescent="0.3">
      <c r="A98" s="46">
        <v>46189</v>
      </c>
      <c r="B98" s="58">
        <f t="shared" si="9"/>
        <v>6</v>
      </c>
      <c r="C98" s="59"/>
      <c r="D98" s="59" t="e">
        <f>VLOOKUP(C98,code!$A$2:$H$153,2,0)</f>
        <v>#N/A</v>
      </c>
      <c r="E98" s="60"/>
      <c r="F98" s="61"/>
      <c r="G98" s="63"/>
      <c r="H98" s="59"/>
      <c r="I98" s="73"/>
    </row>
    <row r="99" spans="1:9" x14ac:dyDescent="0.3">
      <c r="A99" s="46">
        <v>46189</v>
      </c>
      <c r="B99" s="58">
        <f t="shared" si="9"/>
        <v>6</v>
      </c>
      <c r="C99" s="59"/>
      <c r="D99" s="59" t="e">
        <f>VLOOKUP(C99,code!$A$2:$H$153,2,0)</f>
        <v>#N/A</v>
      </c>
      <c r="E99" s="60"/>
      <c r="F99" s="61"/>
      <c r="G99" s="63"/>
      <c r="H99" s="59"/>
      <c r="I99" s="73"/>
    </row>
    <row r="100" spans="1:9" x14ac:dyDescent="0.3">
      <c r="A100" s="46">
        <v>46189</v>
      </c>
      <c r="B100" s="58">
        <f t="shared" si="9"/>
        <v>6</v>
      </c>
      <c r="C100" s="59"/>
      <c r="D100" s="59" t="e">
        <f>VLOOKUP(C100,code!$A$2:$H$153,2,0)</f>
        <v>#N/A</v>
      </c>
      <c r="E100" s="60"/>
      <c r="F100" s="61"/>
      <c r="G100" s="63"/>
      <c r="H100" s="61"/>
      <c r="I100" s="73"/>
    </row>
    <row r="101" spans="1:9" x14ac:dyDescent="0.3">
      <c r="A101" s="46">
        <v>46189</v>
      </c>
      <c r="B101" s="58">
        <f t="shared" si="9"/>
        <v>6</v>
      </c>
      <c r="C101" s="59"/>
      <c r="D101" s="59" t="e">
        <f>VLOOKUP(C101,code!$A$2:$H$153,2,0)</f>
        <v>#N/A</v>
      </c>
      <c r="E101" s="60"/>
      <c r="F101" s="61"/>
      <c r="G101" s="63"/>
      <c r="H101" s="61"/>
      <c r="I101" s="73"/>
    </row>
    <row r="102" spans="1:9" x14ac:dyDescent="0.3">
      <c r="A102" s="46">
        <v>46189</v>
      </c>
      <c r="B102" s="58">
        <f t="shared" si="9"/>
        <v>6</v>
      </c>
      <c r="C102" s="59"/>
      <c r="D102" s="59" t="e">
        <f>VLOOKUP(C102,code!$A$2:$H$153,2,0)</f>
        <v>#N/A</v>
      </c>
      <c r="E102" s="60"/>
      <c r="F102" s="61"/>
      <c r="G102" s="63"/>
      <c r="H102" s="61"/>
      <c r="I102" s="61"/>
    </row>
    <row r="103" spans="1:9" x14ac:dyDescent="0.3">
      <c r="A103" s="46">
        <v>46204</v>
      </c>
      <c r="B103" s="58">
        <f t="shared" si="9"/>
        <v>7</v>
      </c>
      <c r="C103" s="59"/>
      <c r="D103" s="59" t="e">
        <f>VLOOKUP(C103,code!$A$2:$H$153,2,0)</f>
        <v>#N/A</v>
      </c>
      <c r="E103" s="60"/>
      <c r="F103" s="61"/>
      <c r="G103" s="61"/>
      <c r="H103" s="59"/>
      <c r="I103" s="59"/>
    </row>
    <row r="104" spans="1:9" x14ac:dyDescent="0.3">
      <c r="A104" s="46">
        <v>46204</v>
      </c>
      <c r="B104" s="58">
        <f t="shared" si="9"/>
        <v>7</v>
      </c>
      <c r="C104" s="59"/>
      <c r="D104" s="59" t="e">
        <f>VLOOKUP(C104,code!$A$2:$H$153,2,0)</f>
        <v>#N/A</v>
      </c>
      <c r="E104" s="60"/>
      <c r="F104" s="61"/>
      <c r="G104" s="61"/>
      <c r="H104" s="59"/>
      <c r="I104" s="59"/>
    </row>
    <row r="105" spans="1:9" x14ac:dyDescent="0.3">
      <c r="A105" s="46">
        <v>46225</v>
      </c>
      <c r="B105" s="58">
        <f t="shared" si="9"/>
        <v>7</v>
      </c>
      <c r="C105" s="59"/>
      <c r="D105" s="59" t="e">
        <f>VLOOKUP(C105,code!$A$2:$H$153,2,0)</f>
        <v>#N/A</v>
      </c>
      <c r="E105" s="60"/>
      <c r="F105" s="61"/>
      <c r="G105" s="61"/>
      <c r="H105" s="59"/>
      <c r="I105" s="59"/>
    </row>
    <row r="106" spans="1:9" x14ac:dyDescent="0.3">
      <c r="A106" s="46">
        <v>46235</v>
      </c>
      <c r="B106" s="58">
        <f t="shared" si="9"/>
        <v>8</v>
      </c>
      <c r="C106" s="59"/>
      <c r="D106" s="59" t="e">
        <f>VLOOKUP(C106,code!$A$2:$H$153,2,0)</f>
        <v>#N/A</v>
      </c>
      <c r="E106" s="60"/>
      <c r="F106" s="61"/>
      <c r="G106" s="61"/>
      <c r="H106" s="59"/>
      <c r="I106" s="59"/>
    </row>
    <row r="107" spans="1:9" x14ac:dyDescent="0.3">
      <c r="A107" s="46">
        <v>46238</v>
      </c>
      <c r="B107" s="58">
        <f t="shared" si="9"/>
        <v>8</v>
      </c>
      <c r="C107" s="59"/>
      <c r="D107" s="59" t="e">
        <f>VLOOKUP(C107,code!$A$2:$H$153,2,0)</f>
        <v>#N/A</v>
      </c>
      <c r="E107" s="60"/>
      <c r="F107" s="61"/>
      <c r="G107" s="61"/>
      <c r="H107" s="59"/>
      <c r="I107" s="59"/>
    </row>
    <row r="108" spans="1:9" x14ac:dyDescent="0.3">
      <c r="A108" s="46">
        <v>46245</v>
      </c>
      <c r="B108" s="58">
        <f t="shared" si="9"/>
        <v>8</v>
      </c>
      <c r="C108" s="59"/>
      <c r="D108" s="59" t="e">
        <f>VLOOKUP(C108,code!$A$2:$H$153,2,0)</f>
        <v>#N/A</v>
      </c>
      <c r="E108" s="60"/>
      <c r="F108" s="61"/>
      <c r="G108" s="61"/>
      <c r="H108" s="59"/>
      <c r="I108" s="59"/>
    </row>
    <row r="109" spans="1:9" x14ac:dyDescent="0.3">
      <c r="A109" s="46">
        <v>46254</v>
      </c>
      <c r="B109" s="58">
        <f t="shared" si="9"/>
        <v>8</v>
      </c>
      <c r="C109" s="59"/>
      <c r="D109" s="59" t="e">
        <f>VLOOKUP(C109,code!$A$2:$H$153,2,0)</f>
        <v>#N/A</v>
      </c>
      <c r="E109" s="60"/>
      <c r="F109" s="61"/>
      <c r="G109" s="61"/>
      <c r="H109" s="59"/>
      <c r="I109" s="59"/>
    </row>
    <row r="110" spans="1:9" x14ac:dyDescent="0.3">
      <c r="A110" s="46">
        <v>46255</v>
      </c>
      <c r="B110" s="58">
        <f t="shared" si="9"/>
        <v>8</v>
      </c>
      <c r="C110" s="59"/>
      <c r="D110" s="59" t="e">
        <f>VLOOKUP(C110,code!$A$2:$H$153,2,0)</f>
        <v>#N/A</v>
      </c>
      <c r="E110" s="60"/>
      <c r="F110" s="61"/>
      <c r="G110" s="61"/>
      <c r="H110" s="59"/>
      <c r="I110" s="59"/>
    </row>
    <row r="111" spans="1:9" x14ac:dyDescent="0.3">
      <c r="A111" s="46">
        <v>46267</v>
      </c>
      <c r="B111" s="58">
        <f t="shared" ref="B111:B117" si="10">MONTH(A111)</f>
        <v>9</v>
      </c>
      <c r="C111" s="59"/>
      <c r="D111" s="59" t="e">
        <f>VLOOKUP(C111,code!$A$2:$H$153,2,0)</f>
        <v>#N/A</v>
      </c>
      <c r="E111" s="61"/>
      <c r="F111" s="59"/>
      <c r="G111" s="59"/>
      <c r="H111" s="59"/>
      <c r="I111" s="59"/>
    </row>
    <row r="112" spans="1:9" x14ac:dyDescent="0.3">
      <c r="A112" s="46">
        <v>46268</v>
      </c>
      <c r="B112" s="58">
        <f t="shared" si="10"/>
        <v>9</v>
      </c>
      <c r="C112" s="59"/>
      <c r="D112" s="59" t="e">
        <f>VLOOKUP(C112,code!$A$2:$H$153,2,0)</f>
        <v>#N/A</v>
      </c>
      <c r="E112" s="61"/>
      <c r="F112" s="59"/>
      <c r="G112" s="59"/>
      <c r="H112" s="59"/>
      <c r="I112" s="59"/>
    </row>
    <row r="113" spans="1:9" x14ac:dyDescent="0.3">
      <c r="A113" s="46">
        <v>46275</v>
      </c>
      <c r="B113" s="58">
        <f t="shared" si="10"/>
        <v>9</v>
      </c>
      <c r="C113" s="59"/>
      <c r="D113" s="59" t="e">
        <f>VLOOKUP(C113,code!$A$2:$H$153,2,0)</f>
        <v>#N/A</v>
      </c>
      <c r="E113" s="61"/>
      <c r="F113" s="59"/>
      <c r="G113" s="59"/>
      <c r="H113" s="59"/>
      <c r="I113" s="59"/>
    </row>
    <row r="114" spans="1:9" x14ac:dyDescent="0.3">
      <c r="A114" s="46">
        <v>46280</v>
      </c>
      <c r="B114" s="58">
        <f t="shared" si="10"/>
        <v>9</v>
      </c>
      <c r="C114" s="59"/>
      <c r="D114" s="59" t="e">
        <f>VLOOKUP(C114,code!$A$2:$H$153,2,0)</f>
        <v>#N/A</v>
      </c>
      <c r="E114" s="61"/>
      <c r="F114" s="59"/>
      <c r="G114" s="59"/>
      <c r="H114" s="59"/>
      <c r="I114" s="59"/>
    </row>
    <row r="115" spans="1:9" x14ac:dyDescent="0.3">
      <c r="A115" s="46">
        <v>46280</v>
      </c>
      <c r="B115" s="58">
        <f t="shared" si="10"/>
        <v>9</v>
      </c>
      <c r="C115" s="59"/>
      <c r="D115" s="59" t="e">
        <f>VLOOKUP(C115,code!$A$2:$H$153,2,0)</f>
        <v>#N/A</v>
      </c>
      <c r="E115" s="61"/>
      <c r="F115" s="59"/>
      <c r="G115" s="59"/>
      <c r="H115" s="62"/>
      <c r="I115" s="62"/>
    </row>
    <row r="116" spans="1:9" x14ac:dyDescent="0.3">
      <c r="A116" s="46">
        <v>46287</v>
      </c>
      <c r="B116" s="58">
        <f t="shared" si="10"/>
        <v>9</v>
      </c>
      <c r="C116" s="59"/>
      <c r="D116" s="59" t="e">
        <f>VLOOKUP(C116,code!$A$2:$H$153,2,0)</f>
        <v>#N/A</v>
      </c>
      <c r="E116" s="61"/>
      <c r="F116" s="59"/>
      <c r="G116" s="59"/>
      <c r="H116" s="62"/>
      <c r="I116" s="62"/>
    </row>
    <row r="117" spans="1:9" x14ac:dyDescent="0.3">
      <c r="A117" s="46">
        <v>46289</v>
      </c>
      <c r="B117" s="58">
        <f t="shared" si="10"/>
        <v>9</v>
      </c>
      <c r="C117" s="59"/>
      <c r="D117" s="59" t="e">
        <f>VLOOKUP(C117,code!$A$2:$H$153,2,0)</f>
        <v>#N/A</v>
      </c>
      <c r="E117" s="61"/>
      <c r="F117" s="59"/>
      <c r="G117" s="59"/>
      <c r="H117" s="62"/>
      <c r="I117" s="62"/>
    </row>
    <row r="118" spans="1:9" x14ac:dyDescent="0.3">
      <c r="A118" s="46">
        <v>46289</v>
      </c>
      <c r="B118" s="58">
        <f t="shared" ref="B118" si="11">MONTH(A118)</f>
        <v>9</v>
      </c>
      <c r="C118" s="59"/>
      <c r="D118" s="59" t="e">
        <f>VLOOKUP(C118,code!$A$2:$H$153,2,0)</f>
        <v>#N/A</v>
      </c>
      <c r="E118" s="61"/>
      <c r="F118" s="59"/>
      <c r="G118" s="59"/>
      <c r="H118" s="62"/>
      <c r="I118" s="62"/>
    </row>
    <row r="119" spans="1:9" x14ac:dyDescent="0.3">
      <c r="A119" s="46">
        <v>46296</v>
      </c>
      <c r="B119" s="58">
        <f t="shared" ref="B119:B129" si="12">MONTH(A119)</f>
        <v>10</v>
      </c>
      <c r="C119" s="59"/>
      <c r="D119" s="59" t="e">
        <f>VLOOKUP(C119,code!$A$2:$H$153,2,0)</f>
        <v>#N/A</v>
      </c>
      <c r="E119" s="61"/>
      <c r="F119" s="59"/>
      <c r="G119" s="59"/>
      <c r="H119" s="62"/>
      <c r="I119" s="62"/>
    </row>
    <row r="120" spans="1:9" x14ac:dyDescent="0.3">
      <c r="A120" s="46">
        <v>46301</v>
      </c>
      <c r="B120" s="58">
        <f t="shared" si="12"/>
        <v>10</v>
      </c>
      <c r="C120" s="59"/>
      <c r="D120" s="59" t="e">
        <f>VLOOKUP(C120,code!$A$2:$H$153,2,0)</f>
        <v>#N/A</v>
      </c>
      <c r="E120" s="61"/>
      <c r="F120" s="59"/>
      <c r="G120" s="59"/>
      <c r="H120" s="62"/>
      <c r="I120" s="62"/>
    </row>
    <row r="121" spans="1:9" x14ac:dyDescent="0.3">
      <c r="A121" s="46">
        <v>46301</v>
      </c>
      <c r="B121" s="58">
        <f t="shared" si="12"/>
        <v>10</v>
      </c>
      <c r="C121" s="59"/>
      <c r="D121" s="59" t="e">
        <f>VLOOKUP(C121,code!$A$2:$H$153,2,0)</f>
        <v>#N/A</v>
      </c>
      <c r="E121" s="61"/>
      <c r="F121" s="59"/>
      <c r="G121" s="59"/>
      <c r="H121" s="62"/>
      <c r="I121" s="62"/>
    </row>
    <row r="122" spans="1:9" x14ac:dyDescent="0.3">
      <c r="A122" s="46">
        <v>46309</v>
      </c>
      <c r="B122" s="58">
        <f t="shared" si="12"/>
        <v>10</v>
      </c>
      <c r="C122" s="59"/>
      <c r="D122" s="59" t="e">
        <f>VLOOKUP(C122,code!$A$2:$H$153,2,0)</f>
        <v>#N/A</v>
      </c>
      <c r="E122" s="61"/>
      <c r="F122" s="59"/>
      <c r="G122" s="59"/>
      <c r="H122" s="62"/>
      <c r="I122" s="62"/>
    </row>
    <row r="123" spans="1:9" x14ac:dyDescent="0.3">
      <c r="A123" s="46">
        <v>46312</v>
      </c>
      <c r="B123" s="58">
        <f t="shared" si="12"/>
        <v>10</v>
      </c>
      <c r="C123" s="59"/>
      <c r="D123" s="59" t="e">
        <f>VLOOKUP(C123,code!$A$2:$H$153,2,0)</f>
        <v>#N/A</v>
      </c>
      <c r="E123" s="61"/>
      <c r="F123" s="59"/>
      <c r="G123" s="59"/>
      <c r="H123" s="59"/>
      <c r="I123" s="62"/>
    </row>
    <row r="124" spans="1:9" x14ac:dyDescent="0.3">
      <c r="A124" s="46">
        <v>46315</v>
      </c>
      <c r="B124" s="58">
        <f t="shared" si="12"/>
        <v>10</v>
      </c>
      <c r="C124" s="59"/>
      <c r="D124" s="59" t="e">
        <f>VLOOKUP(C124,code!$A$2:$H$153,2,0)</f>
        <v>#N/A</v>
      </c>
      <c r="E124" s="61"/>
      <c r="F124" s="59"/>
      <c r="G124" s="34"/>
      <c r="H124" s="62"/>
      <c r="I124" s="62"/>
    </row>
    <row r="125" spans="1:9" x14ac:dyDescent="0.3">
      <c r="A125" s="46">
        <v>46315</v>
      </c>
      <c r="B125" s="58">
        <f t="shared" si="12"/>
        <v>10</v>
      </c>
      <c r="C125" s="59"/>
      <c r="D125" s="59" t="e">
        <f>VLOOKUP(C125,code!$A$2:$H$153,2,0)</f>
        <v>#N/A</v>
      </c>
      <c r="E125" s="61"/>
      <c r="F125" s="59"/>
      <c r="G125" s="59"/>
      <c r="H125" s="62"/>
      <c r="I125" s="62"/>
    </row>
    <row r="126" spans="1:9" x14ac:dyDescent="0.3">
      <c r="A126" s="46">
        <v>46317</v>
      </c>
      <c r="B126" s="58">
        <f t="shared" si="12"/>
        <v>10</v>
      </c>
      <c r="C126" s="59"/>
      <c r="D126" s="59" t="e">
        <f>VLOOKUP(C126,code!$A$2:$H$153,2,0)</f>
        <v>#N/A</v>
      </c>
      <c r="E126" s="61"/>
      <c r="F126" s="59"/>
      <c r="G126" s="34"/>
      <c r="H126" s="62"/>
      <c r="I126" s="62"/>
    </row>
    <row r="127" spans="1:9" x14ac:dyDescent="0.3">
      <c r="A127" s="46">
        <v>46319</v>
      </c>
      <c r="B127" s="58">
        <f t="shared" si="12"/>
        <v>10</v>
      </c>
      <c r="C127" s="59"/>
      <c r="D127" s="59" t="e">
        <f>VLOOKUP(C127,code!$A$2:$H$153,2,0)</f>
        <v>#N/A</v>
      </c>
      <c r="E127" s="61"/>
      <c r="F127" s="59"/>
      <c r="G127" s="59"/>
      <c r="H127" s="62"/>
      <c r="I127" s="62"/>
    </row>
    <row r="128" spans="1:9" x14ac:dyDescent="0.3">
      <c r="A128" s="46">
        <v>46322</v>
      </c>
      <c r="B128" s="58">
        <f t="shared" si="12"/>
        <v>10</v>
      </c>
      <c r="C128" s="59"/>
      <c r="D128" s="59" t="e">
        <f>VLOOKUP(C128,code!$A$2:$H$153,2,0)</f>
        <v>#N/A</v>
      </c>
      <c r="E128" s="61"/>
      <c r="F128" s="59"/>
      <c r="G128" s="34"/>
      <c r="H128" s="62"/>
      <c r="I128" s="62"/>
    </row>
    <row r="129" spans="1:9" x14ac:dyDescent="0.3">
      <c r="A129" s="46">
        <v>46322</v>
      </c>
      <c r="B129" s="58">
        <f t="shared" si="12"/>
        <v>10</v>
      </c>
      <c r="C129" s="59"/>
      <c r="D129" s="59" t="e">
        <f>VLOOKUP(C129,code!$A$2:$H$153,2,0)</f>
        <v>#N/A</v>
      </c>
      <c r="E129" s="61"/>
      <c r="F129" s="59"/>
      <c r="G129" s="59"/>
      <c r="H129" s="62"/>
      <c r="I129" s="62"/>
    </row>
    <row r="130" spans="1:9" x14ac:dyDescent="0.3">
      <c r="A130" s="46">
        <v>46324</v>
      </c>
      <c r="B130" s="58">
        <f t="shared" ref="B130" si="13">MONTH(A130)</f>
        <v>10</v>
      </c>
      <c r="C130" s="59"/>
      <c r="D130" s="59" t="e">
        <f>VLOOKUP(C130,code!$A$2:$H$153,2,0)</f>
        <v>#N/A</v>
      </c>
      <c r="E130" s="61"/>
      <c r="F130" s="62"/>
      <c r="G130" s="59"/>
      <c r="H130" s="74"/>
      <c r="I130" s="62"/>
    </row>
    <row r="131" spans="1:9" x14ac:dyDescent="0.3">
      <c r="A131" s="46">
        <v>46324</v>
      </c>
      <c r="B131" s="58">
        <f t="shared" ref="B131" si="14">MONTH(A131)</f>
        <v>10</v>
      </c>
      <c r="C131" s="59"/>
      <c r="D131" s="59" t="e">
        <f>VLOOKUP(C131,code!$A$2:$H$153,2,0)</f>
        <v>#N/A</v>
      </c>
      <c r="E131" s="61"/>
      <c r="F131" s="62"/>
      <c r="G131" s="59"/>
      <c r="H131" s="62"/>
      <c r="I131" s="62"/>
    </row>
    <row r="132" spans="1:9" x14ac:dyDescent="0.3">
      <c r="A132" s="46">
        <v>46324</v>
      </c>
      <c r="B132" s="58">
        <f t="shared" ref="B132:B154" si="15">MONTH(A132)</f>
        <v>10</v>
      </c>
      <c r="C132" s="59"/>
      <c r="D132" s="59" t="e">
        <f>VLOOKUP(C132,code!$A$2:$H$153,2,0)</f>
        <v>#N/A</v>
      </c>
      <c r="E132" s="61"/>
      <c r="F132" s="62"/>
      <c r="G132" s="59"/>
      <c r="H132" s="64"/>
      <c r="I132" s="62"/>
    </row>
    <row r="133" spans="1:9" x14ac:dyDescent="0.3">
      <c r="A133" s="46">
        <v>46324</v>
      </c>
      <c r="B133" s="58">
        <f t="shared" si="15"/>
        <v>10</v>
      </c>
      <c r="C133" s="59"/>
      <c r="D133" s="59" t="e">
        <f>VLOOKUP(C133,code!$A$2:$H$153,2,0)</f>
        <v>#N/A</v>
      </c>
      <c r="E133" s="61"/>
      <c r="F133" s="59"/>
      <c r="G133" s="59"/>
      <c r="H133" s="62"/>
      <c r="I133" s="62"/>
    </row>
    <row r="134" spans="1:9" x14ac:dyDescent="0.3">
      <c r="A134" s="46">
        <v>46324</v>
      </c>
      <c r="B134" s="58">
        <f t="shared" si="15"/>
        <v>10</v>
      </c>
      <c r="C134" s="59"/>
      <c r="D134" s="59" t="e">
        <f>VLOOKUP(C134,code!$A$2:$H$153,2,0)</f>
        <v>#N/A</v>
      </c>
      <c r="E134" s="61"/>
      <c r="F134" s="59"/>
      <c r="G134" s="59"/>
      <c r="H134" s="62"/>
      <c r="I134" s="62"/>
    </row>
    <row r="135" spans="1:9" x14ac:dyDescent="0.3">
      <c r="A135" s="46">
        <v>46324</v>
      </c>
      <c r="B135" s="58">
        <f t="shared" si="15"/>
        <v>10</v>
      </c>
      <c r="C135" s="59"/>
      <c r="D135" s="59" t="e">
        <f>VLOOKUP(C135,code!$A$2:$H$153,2,0)</f>
        <v>#N/A</v>
      </c>
      <c r="E135" s="61"/>
      <c r="F135" s="59"/>
      <c r="G135" s="59"/>
      <c r="H135" s="62"/>
      <c r="I135" s="62"/>
    </row>
    <row r="136" spans="1:9" x14ac:dyDescent="0.3">
      <c r="A136" s="46">
        <v>46324</v>
      </c>
      <c r="B136" s="58">
        <f t="shared" si="15"/>
        <v>10</v>
      </c>
      <c r="C136" s="59"/>
      <c r="D136" s="59" t="e">
        <f>VLOOKUP(C136,code!$A$2:$H$153,2,0)</f>
        <v>#N/A</v>
      </c>
      <c r="E136" s="61"/>
      <c r="F136" s="59"/>
      <c r="G136" s="59"/>
      <c r="H136" s="64"/>
      <c r="I136" s="62"/>
    </row>
    <row r="137" spans="1:9" x14ac:dyDescent="0.3">
      <c r="A137" s="46">
        <v>46301</v>
      </c>
      <c r="B137" s="58">
        <f t="shared" si="15"/>
        <v>10</v>
      </c>
      <c r="C137" s="59"/>
      <c r="D137" s="59" t="e">
        <f>VLOOKUP(C137,code!$A$2:$H$153,2,0)</f>
        <v>#N/A</v>
      </c>
      <c r="E137" s="61"/>
      <c r="F137" s="59"/>
      <c r="G137" s="59"/>
      <c r="H137" s="62"/>
      <c r="I137" s="62"/>
    </row>
    <row r="138" spans="1:9" x14ac:dyDescent="0.3">
      <c r="A138" s="46">
        <v>46301</v>
      </c>
      <c r="B138" s="58">
        <f t="shared" si="15"/>
        <v>10</v>
      </c>
      <c r="C138" s="59"/>
      <c r="D138" s="59" t="e">
        <f>VLOOKUP(C138,code!$A$2:$H$153,2,0)</f>
        <v>#N/A</v>
      </c>
      <c r="E138" s="61"/>
      <c r="F138" s="59"/>
      <c r="G138" s="59"/>
      <c r="H138" s="62"/>
      <c r="I138" s="62"/>
    </row>
    <row r="139" spans="1:9" x14ac:dyDescent="0.3">
      <c r="A139" s="46">
        <v>46301</v>
      </c>
      <c r="B139" s="58">
        <f t="shared" si="15"/>
        <v>10</v>
      </c>
      <c r="C139" s="59"/>
      <c r="D139" s="59" t="e">
        <f>VLOOKUP(C139,code!$A$2:$H$153,2,0)</f>
        <v>#N/A</v>
      </c>
      <c r="E139" s="61"/>
      <c r="F139" s="61"/>
      <c r="G139" s="59"/>
      <c r="H139" s="62"/>
      <c r="I139" s="62"/>
    </row>
    <row r="140" spans="1:9" x14ac:dyDescent="0.3">
      <c r="A140" s="46">
        <v>46301</v>
      </c>
      <c r="B140" s="58">
        <f t="shared" si="15"/>
        <v>10</v>
      </c>
      <c r="C140" s="59"/>
      <c r="D140" s="59" t="e">
        <f>VLOOKUP(C140,code!$A$2:$H$153,2,0)</f>
        <v>#N/A</v>
      </c>
      <c r="E140" s="61"/>
      <c r="F140" s="59"/>
      <c r="G140" s="59"/>
      <c r="H140" s="62"/>
      <c r="I140" s="62"/>
    </row>
    <row r="141" spans="1:9" x14ac:dyDescent="0.3">
      <c r="A141" s="46">
        <v>46301</v>
      </c>
      <c r="B141" s="58">
        <f t="shared" si="15"/>
        <v>10</v>
      </c>
      <c r="C141" s="59"/>
      <c r="D141" s="59" t="e">
        <f>VLOOKUP(C141,code!$A$2:$H$153,2,0)</f>
        <v>#N/A</v>
      </c>
      <c r="E141" s="61"/>
      <c r="F141" s="59"/>
      <c r="G141" s="59"/>
      <c r="H141" s="62"/>
      <c r="I141" s="62"/>
    </row>
    <row r="142" spans="1:9" x14ac:dyDescent="0.3">
      <c r="A142" s="46">
        <v>46301</v>
      </c>
      <c r="B142" s="58">
        <f t="shared" si="15"/>
        <v>10</v>
      </c>
      <c r="C142" s="59"/>
      <c r="D142" s="59" t="e">
        <f>VLOOKUP(C142,code!$A$2:$H$153,2,0)</f>
        <v>#N/A</v>
      </c>
      <c r="E142" s="61"/>
      <c r="F142" s="59"/>
      <c r="G142" s="59"/>
      <c r="H142" s="62"/>
      <c r="I142" s="62"/>
    </row>
    <row r="143" spans="1:9" x14ac:dyDescent="0.3">
      <c r="A143" s="46">
        <v>46301</v>
      </c>
      <c r="B143" s="58">
        <f t="shared" si="15"/>
        <v>10</v>
      </c>
      <c r="C143" s="59"/>
      <c r="D143" s="59" t="e">
        <f>VLOOKUP(C143,code!$A$2:$H$153,2,0)</f>
        <v>#N/A</v>
      </c>
      <c r="E143" s="61"/>
      <c r="F143" s="59"/>
      <c r="G143" s="59"/>
      <c r="H143" s="62"/>
      <c r="I143" s="62"/>
    </row>
    <row r="144" spans="1:9" x14ac:dyDescent="0.3">
      <c r="A144" s="46">
        <v>46301</v>
      </c>
      <c r="B144" s="58">
        <f t="shared" si="15"/>
        <v>10</v>
      </c>
      <c r="C144" s="59"/>
      <c r="D144" s="59" t="e">
        <f>VLOOKUP(C144,code!$A$2:$H$153,2,0)</f>
        <v>#N/A</v>
      </c>
      <c r="E144" s="61"/>
      <c r="F144" s="59"/>
      <c r="G144" s="59"/>
      <c r="H144" s="62"/>
      <c r="I144" s="62"/>
    </row>
    <row r="145" spans="1:9" x14ac:dyDescent="0.3">
      <c r="A145" s="46">
        <v>46301</v>
      </c>
      <c r="B145" s="58">
        <f t="shared" si="15"/>
        <v>10</v>
      </c>
      <c r="C145" s="59"/>
      <c r="D145" s="59" t="e">
        <f>VLOOKUP(C145,code!$A$2:$H$153,2,0)</f>
        <v>#N/A</v>
      </c>
      <c r="E145" s="61"/>
      <c r="F145" s="59"/>
      <c r="G145" s="59"/>
      <c r="H145" s="62"/>
      <c r="I145" s="62"/>
    </row>
    <row r="146" spans="1:9" x14ac:dyDescent="0.3">
      <c r="A146" s="46">
        <v>46301</v>
      </c>
      <c r="B146" s="58">
        <f t="shared" si="15"/>
        <v>10</v>
      </c>
      <c r="C146" s="59"/>
      <c r="D146" s="59" t="e">
        <f>VLOOKUP(C146,code!$A$2:$H$153,2,0)</f>
        <v>#N/A</v>
      </c>
      <c r="E146" s="61"/>
      <c r="F146" s="59"/>
      <c r="G146" s="59"/>
      <c r="H146" s="62"/>
      <c r="I146" s="62"/>
    </row>
    <row r="147" spans="1:9" x14ac:dyDescent="0.3">
      <c r="A147" s="46">
        <v>46301</v>
      </c>
      <c r="B147" s="58">
        <f t="shared" si="15"/>
        <v>10</v>
      </c>
      <c r="C147" s="59"/>
      <c r="D147" s="59" t="e">
        <f>VLOOKUP(C147,code!$A$2:$H$153,2,0)</f>
        <v>#N/A</v>
      </c>
      <c r="E147" s="61"/>
      <c r="F147" s="59"/>
      <c r="G147" s="59"/>
      <c r="H147" s="62"/>
      <c r="I147" s="62"/>
    </row>
    <row r="148" spans="1:9" x14ac:dyDescent="0.3">
      <c r="A148" s="46">
        <v>46301</v>
      </c>
      <c r="B148" s="58">
        <f t="shared" si="15"/>
        <v>10</v>
      </c>
      <c r="C148" s="59"/>
      <c r="D148" s="59" t="e">
        <f>VLOOKUP(C148,code!$A$2:$H$153,2,0)</f>
        <v>#N/A</v>
      </c>
      <c r="E148" s="61"/>
      <c r="F148" s="59"/>
      <c r="G148" s="59"/>
      <c r="H148" s="64"/>
      <c r="I148" s="64"/>
    </row>
    <row r="149" spans="1:9" x14ac:dyDescent="0.3">
      <c r="A149" s="46">
        <v>46301</v>
      </c>
      <c r="B149" s="58">
        <f t="shared" si="15"/>
        <v>10</v>
      </c>
      <c r="C149" s="59"/>
      <c r="D149" s="59" t="e">
        <f>VLOOKUP(C149,code!$A$2:$H$153,2,0)</f>
        <v>#N/A</v>
      </c>
      <c r="E149" s="61"/>
      <c r="F149" s="59"/>
      <c r="G149" s="59"/>
      <c r="H149" s="62"/>
      <c r="I149" s="62"/>
    </row>
    <row r="150" spans="1:9" x14ac:dyDescent="0.3">
      <c r="A150" s="46">
        <v>46329</v>
      </c>
      <c r="B150" s="58">
        <f t="shared" si="15"/>
        <v>11</v>
      </c>
      <c r="C150" s="59"/>
      <c r="D150" s="59" t="e">
        <f>VLOOKUP(C150,code!$A$2:$H$153,2,0)</f>
        <v>#N/A</v>
      </c>
      <c r="E150" s="61"/>
      <c r="F150" s="59"/>
      <c r="G150" s="59"/>
      <c r="H150" s="62"/>
      <c r="I150" s="62"/>
    </row>
    <row r="151" spans="1:9" x14ac:dyDescent="0.3">
      <c r="A151" s="46">
        <v>46329</v>
      </c>
      <c r="B151" s="58">
        <f t="shared" si="15"/>
        <v>11</v>
      </c>
      <c r="C151" s="59"/>
      <c r="D151" s="59" t="e">
        <f>VLOOKUP(C151,code!$A$2:$H$153,2,0)</f>
        <v>#N/A</v>
      </c>
      <c r="E151" s="61"/>
      <c r="F151" s="59"/>
      <c r="G151" s="59"/>
      <c r="H151" s="62"/>
      <c r="I151" s="62"/>
    </row>
    <row r="152" spans="1:9" x14ac:dyDescent="0.3">
      <c r="A152" s="46">
        <v>46332</v>
      </c>
      <c r="B152" s="58">
        <f t="shared" si="15"/>
        <v>11</v>
      </c>
      <c r="C152" s="59"/>
      <c r="D152" s="59" t="e">
        <f>VLOOKUP(C152,code!$A$2:$H$153,2,0)</f>
        <v>#N/A</v>
      </c>
      <c r="E152" s="61"/>
      <c r="F152" s="59"/>
      <c r="G152" s="59"/>
      <c r="H152" s="62"/>
      <c r="I152" s="62"/>
    </row>
    <row r="153" spans="1:9" x14ac:dyDescent="0.3">
      <c r="A153" s="46">
        <v>46350</v>
      </c>
      <c r="B153" s="58">
        <f t="shared" si="15"/>
        <v>11</v>
      </c>
      <c r="C153" s="59"/>
      <c r="D153" s="59" t="e">
        <f>VLOOKUP(C153,code!$A$2:$H$153,2,0)</f>
        <v>#N/A</v>
      </c>
      <c r="E153" s="61"/>
      <c r="F153" s="59"/>
      <c r="G153" s="59"/>
      <c r="H153" s="62"/>
      <c r="I153" s="62"/>
    </row>
    <row r="154" spans="1:9" x14ac:dyDescent="0.3">
      <c r="A154" s="46">
        <v>46352</v>
      </c>
      <c r="B154" s="58">
        <f t="shared" si="15"/>
        <v>11</v>
      </c>
      <c r="C154" s="59"/>
      <c r="D154" s="59" t="e">
        <f>VLOOKUP(C154,code!$A$2:$H$153,2,0)</f>
        <v>#N/A</v>
      </c>
      <c r="E154" s="61"/>
      <c r="F154" s="59"/>
      <c r="G154" s="59"/>
      <c r="H154" s="62"/>
      <c r="I154" s="62"/>
    </row>
    <row r="155" spans="1:9" x14ac:dyDescent="0.3">
      <c r="A155" s="46">
        <v>46334</v>
      </c>
      <c r="B155" s="58">
        <f t="shared" ref="B155:B179" si="16">MONTH(A155)</f>
        <v>11</v>
      </c>
      <c r="C155" s="59"/>
      <c r="D155" s="59" t="e">
        <f>VLOOKUP(C155,code!$A$2:$H$153,2,0)</f>
        <v>#N/A</v>
      </c>
      <c r="E155" s="61"/>
      <c r="F155" s="59"/>
      <c r="G155" s="59"/>
      <c r="H155" s="62"/>
      <c r="I155" s="62"/>
    </row>
    <row r="156" spans="1:9" x14ac:dyDescent="0.3">
      <c r="A156" s="46">
        <v>46335</v>
      </c>
      <c r="B156" s="58">
        <f t="shared" si="16"/>
        <v>11</v>
      </c>
      <c r="C156" s="59"/>
      <c r="D156" s="59" t="e">
        <f>VLOOKUP(C156,code!$A$2:$H$153,2,0)</f>
        <v>#N/A</v>
      </c>
      <c r="E156" s="61"/>
      <c r="F156" s="59"/>
      <c r="G156" s="59"/>
      <c r="H156" s="62"/>
      <c r="I156" s="62"/>
    </row>
    <row r="157" spans="1:9" x14ac:dyDescent="0.3">
      <c r="A157" s="46">
        <v>46336</v>
      </c>
      <c r="B157" s="58">
        <f t="shared" si="16"/>
        <v>11</v>
      </c>
      <c r="C157" s="59"/>
      <c r="D157" s="59" t="e">
        <f>VLOOKUP(C157,code!$A$2:$H$153,2,0)</f>
        <v>#N/A</v>
      </c>
      <c r="E157" s="61"/>
      <c r="F157" s="59"/>
      <c r="G157" s="59"/>
      <c r="H157" s="62"/>
      <c r="I157" s="62"/>
    </row>
    <row r="158" spans="1:9" x14ac:dyDescent="0.3">
      <c r="A158" s="46">
        <v>46337</v>
      </c>
      <c r="B158" s="58">
        <f t="shared" si="16"/>
        <v>11</v>
      </c>
      <c r="C158" s="59"/>
      <c r="D158" s="59" t="e">
        <f>VLOOKUP(C158,code!$A$2:$H$153,2,0)</f>
        <v>#N/A</v>
      </c>
      <c r="E158" s="61"/>
      <c r="F158" s="59"/>
      <c r="G158" s="59"/>
      <c r="H158" s="62"/>
      <c r="I158" s="62"/>
    </row>
    <row r="159" spans="1:9" x14ac:dyDescent="0.3">
      <c r="A159" s="46">
        <v>46338</v>
      </c>
      <c r="B159" s="58">
        <f t="shared" si="16"/>
        <v>11</v>
      </c>
      <c r="C159" s="59"/>
      <c r="D159" s="59" t="s">
        <v>219</v>
      </c>
      <c r="E159" s="61"/>
      <c r="F159" s="59"/>
      <c r="G159" s="59"/>
      <c r="H159" s="62"/>
      <c r="I159" s="62"/>
    </row>
    <row r="160" spans="1:9" x14ac:dyDescent="0.3">
      <c r="A160" s="46">
        <v>46339</v>
      </c>
      <c r="B160" s="58">
        <f t="shared" si="16"/>
        <v>11</v>
      </c>
      <c r="C160" s="59"/>
      <c r="D160" s="59" t="e">
        <f>VLOOKUP(C160,code!$A$2:$H$153,2,0)</f>
        <v>#N/A</v>
      </c>
      <c r="E160" s="61"/>
      <c r="F160" s="59"/>
      <c r="G160" s="59"/>
      <c r="H160" s="62"/>
      <c r="I160" s="62"/>
    </row>
    <row r="161" spans="1:9" x14ac:dyDescent="0.3">
      <c r="A161" s="46">
        <v>46340</v>
      </c>
      <c r="B161" s="58">
        <f t="shared" si="16"/>
        <v>11</v>
      </c>
      <c r="C161" s="59"/>
      <c r="D161" s="59" t="e">
        <f>VLOOKUP(C161,code!$A$2:$H$153,2,0)</f>
        <v>#N/A</v>
      </c>
      <c r="E161" s="61"/>
      <c r="F161" s="59"/>
      <c r="G161" s="59"/>
      <c r="H161" s="62"/>
      <c r="I161" s="62"/>
    </row>
    <row r="162" spans="1:9" x14ac:dyDescent="0.3">
      <c r="A162" s="46">
        <v>46341</v>
      </c>
      <c r="B162" s="58">
        <f t="shared" si="16"/>
        <v>11</v>
      </c>
      <c r="C162" s="59"/>
      <c r="D162" s="59" t="e">
        <f>VLOOKUP(C162,code!$A$2:$H$153,2,0)</f>
        <v>#N/A</v>
      </c>
      <c r="E162" s="61"/>
      <c r="F162" s="59"/>
      <c r="G162" s="59"/>
      <c r="H162" s="62"/>
      <c r="I162" s="62"/>
    </row>
    <row r="163" spans="1:9" x14ac:dyDescent="0.3">
      <c r="A163" s="46">
        <v>46342</v>
      </c>
      <c r="B163" s="58">
        <f t="shared" si="16"/>
        <v>11</v>
      </c>
      <c r="C163" s="59"/>
      <c r="D163" s="59" t="e">
        <f>VLOOKUP(C163,code!$A$2:$H$153,2,0)</f>
        <v>#N/A</v>
      </c>
      <c r="E163" s="61"/>
      <c r="F163" s="59"/>
      <c r="G163" s="59"/>
      <c r="H163" s="62"/>
      <c r="I163" s="62"/>
    </row>
    <row r="164" spans="1:9" x14ac:dyDescent="0.3">
      <c r="A164" s="46">
        <v>46343</v>
      </c>
      <c r="B164" s="58">
        <f t="shared" si="16"/>
        <v>11</v>
      </c>
      <c r="C164" s="59"/>
      <c r="D164" s="59" t="e">
        <f>VLOOKUP(C164,code!$A$2:$H$153,2,0)</f>
        <v>#N/A</v>
      </c>
      <c r="E164" s="61"/>
      <c r="F164" s="59"/>
      <c r="G164" s="59"/>
      <c r="H164" s="62"/>
      <c r="I164" s="62"/>
    </row>
    <row r="165" spans="1:9" x14ac:dyDescent="0.3">
      <c r="A165" s="46">
        <v>46344</v>
      </c>
      <c r="B165" s="58">
        <f t="shared" si="16"/>
        <v>11</v>
      </c>
      <c r="C165" s="59"/>
      <c r="D165" s="59" t="e">
        <f>VLOOKUP(C165,code!$A$2:$H$153,2,0)</f>
        <v>#N/A</v>
      </c>
      <c r="E165" s="61"/>
      <c r="F165" s="59"/>
      <c r="G165" s="59"/>
      <c r="H165" s="62"/>
      <c r="I165" s="62"/>
    </row>
    <row r="166" spans="1:9" x14ac:dyDescent="0.3">
      <c r="A166" s="46">
        <v>46345</v>
      </c>
      <c r="B166" s="58">
        <f t="shared" si="16"/>
        <v>11</v>
      </c>
      <c r="C166" s="59"/>
      <c r="D166" s="59" t="e">
        <f>VLOOKUP(C166,code!$A$2:$H$153,2,0)</f>
        <v>#N/A</v>
      </c>
      <c r="E166" s="61"/>
      <c r="F166" s="59"/>
      <c r="G166" s="59"/>
      <c r="H166" s="62"/>
      <c r="I166" s="62"/>
    </row>
    <row r="167" spans="1:9" x14ac:dyDescent="0.3">
      <c r="A167" s="46">
        <v>46346</v>
      </c>
      <c r="B167" s="58">
        <f t="shared" si="16"/>
        <v>11</v>
      </c>
      <c r="C167" s="59"/>
      <c r="D167" s="59" t="e">
        <f>VLOOKUP(C167,code!$A$2:$H$153,2,0)</f>
        <v>#N/A</v>
      </c>
      <c r="E167" s="61"/>
      <c r="F167" s="59"/>
      <c r="G167" s="59"/>
      <c r="H167" s="62"/>
      <c r="I167" s="62"/>
    </row>
    <row r="168" spans="1:9" x14ac:dyDescent="0.3">
      <c r="A168" s="46">
        <v>46347</v>
      </c>
      <c r="B168" s="58">
        <f t="shared" si="16"/>
        <v>11</v>
      </c>
      <c r="C168" s="59"/>
      <c r="D168" s="59" t="e">
        <f>VLOOKUP(C168,code!$A$2:$H$153,2,0)</f>
        <v>#N/A</v>
      </c>
      <c r="E168" s="61"/>
      <c r="F168" s="59"/>
      <c r="G168" s="59"/>
      <c r="H168" s="62"/>
      <c r="I168" s="62"/>
    </row>
    <row r="169" spans="1:9" x14ac:dyDescent="0.3">
      <c r="A169" s="46">
        <v>46348</v>
      </c>
      <c r="B169" s="58">
        <f t="shared" si="16"/>
        <v>11</v>
      </c>
      <c r="C169" s="59"/>
      <c r="D169" s="59" t="e">
        <f>VLOOKUP(C169,code!$A$2:$H$153,2,0)</f>
        <v>#N/A</v>
      </c>
      <c r="E169" s="61"/>
      <c r="F169" s="59"/>
      <c r="G169" s="59"/>
      <c r="H169" s="62"/>
      <c r="I169" s="62"/>
    </row>
    <row r="170" spans="1:9" x14ac:dyDescent="0.3">
      <c r="A170" s="46"/>
      <c r="B170" s="58">
        <f t="shared" si="16"/>
        <v>1</v>
      </c>
      <c r="C170" s="59"/>
      <c r="D170" s="59" t="e">
        <f>VLOOKUP(C170,code!$A$2:$H$153,2,0)</f>
        <v>#N/A</v>
      </c>
      <c r="E170" s="61"/>
      <c r="F170" s="59"/>
      <c r="G170" s="59"/>
      <c r="H170" s="62"/>
      <c r="I170" s="62"/>
    </row>
    <row r="171" spans="1:9" x14ac:dyDescent="0.3">
      <c r="A171" s="46"/>
      <c r="B171" s="58">
        <f t="shared" si="16"/>
        <v>1</v>
      </c>
      <c r="C171" s="59"/>
      <c r="D171" s="59" t="e">
        <f>VLOOKUP(C171,code!$A$2:$H$153,2,0)</f>
        <v>#N/A</v>
      </c>
      <c r="E171" s="61"/>
      <c r="F171" s="59"/>
      <c r="G171" s="59"/>
      <c r="H171" s="62"/>
      <c r="I171" s="62"/>
    </row>
    <row r="172" spans="1:9" x14ac:dyDescent="0.3">
      <c r="A172" s="46"/>
      <c r="B172" s="58">
        <f t="shared" si="16"/>
        <v>1</v>
      </c>
      <c r="C172" s="59"/>
      <c r="D172" s="59" t="e">
        <f>VLOOKUP(C172,code!$A$2:$H$153,2,0)</f>
        <v>#N/A</v>
      </c>
      <c r="E172" s="61"/>
      <c r="F172" s="59"/>
      <c r="G172" s="59"/>
      <c r="H172" s="62"/>
      <c r="I172" s="62"/>
    </row>
    <row r="173" spans="1:9" x14ac:dyDescent="0.3">
      <c r="A173" s="46"/>
      <c r="B173" s="58">
        <f t="shared" si="16"/>
        <v>1</v>
      </c>
      <c r="C173" s="59"/>
      <c r="D173" s="59" t="e">
        <f>VLOOKUP(C173,code!$A$2:$H$153,2,0)</f>
        <v>#N/A</v>
      </c>
      <c r="E173" s="61"/>
      <c r="F173" s="59"/>
      <c r="G173" s="59"/>
      <c r="H173" s="62"/>
      <c r="I173" s="62"/>
    </row>
    <row r="174" spans="1:9" x14ac:dyDescent="0.3">
      <c r="A174" s="46"/>
      <c r="B174" s="58">
        <f t="shared" si="16"/>
        <v>1</v>
      </c>
      <c r="C174" s="59"/>
      <c r="D174" s="59" t="e">
        <f>VLOOKUP(C174,code!$A$2:$H$153,2,0)</f>
        <v>#N/A</v>
      </c>
      <c r="E174" s="61"/>
      <c r="F174" s="59"/>
      <c r="G174" s="59"/>
      <c r="H174" s="62"/>
      <c r="I174" s="62"/>
    </row>
    <row r="175" spans="1:9" x14ac:dyDescent="0.3">
      <c r="A175" s="46"/>
      <c r="B175" s="58">
        <f t="shared" si="16"/>
        <v>1</v>
      </c>
      <c r="C175" s="59"/>
      <c r="D175" s="59" t="e">
        <f>VLOOKUP(C175,code!$A$2:$H$153,2,0)</f>
        <v>#N/A</v>
      </c>
      <c r="E175" s="61"/>
      <c r="F175" s="59"/>
      <c r="G175" s="59"/>
      <c r="H175" s="62"/>
      <c r="I175" s="62"/>
    </row>
    <row r="176" spans="1:9" x14ac:dyDescent="0.3">
      <c r="A176" s="75"/>
      <c r="B176" s="58">
        <f t="shared" si="16"/>
        <v>1</v>
      </c>
      <c r="C176" s="59"/>
      <c r="D176" s="59" t="e">
        <f>VLOOKUP(C176,code!$A$2:$H$153,2,0)</f>
        <v>#N/A</v>
      </c>
      <c r="E176" s="61"/>
      <c r="F176" s="59"/>
      <c r="G176" s="59"/>
      <c r="H176" s="62"/>
      <c r="I176" s="62"/>
    </row>
    <row r="177" spans="1:9" x14ac:dyDescent="0.3">
      <c r="A177" s="75"/>
      <c r="B177" s="58">
        <f t="shared" si="16"/>
        <v>1</v>
      </c>
      <c r="C177" s="59"/>
      <c r="D177" s="59" t="e">
        <f>VLOOKUP(C177,code!$A$2:$H$153,2,0)</f>
        <v>#N/A</v>
      </c>
      <c r="E177" s="61"/>
      <c r="F177" s="59"/>
      <c r="G177" s="59"/>
      <c r="H177" s="62"/>
      <c r="I177" s="62"/>
    </row>
    <row r="178" spans="1:9" x14ac:dyDescent="0.3">
      <c r="A178" s="75"/>
      <c r="B178" s="58">
        <f t="shared" si="16"/>
        <v>1</v>
      </c>
      <c r="C178" s="59"/>
      <c r="D178" s="59" t="e">
        <f>VLOOKUP(C178,code!$A$2:$H$153,2,0)</f>
        <v>#N/A</v>
      </c>
      <c r="E178" s="61"/>
      <c r="F178" s="59"/>
      <c r="G178" s="59"/>
      <c r="H178" s="62"/>
      <c r="I178" s="62"/>
    </row>
    <row r="179" spans="1:9" x14ac:dyDescent="0.3">
      <c r="A179" s="75"/>
      <c r="B179" s="58">
        <f t="shared" si="16"/>
        <v>1</v>
      </c>
      <c r="C179" s="59"/>
      <c r="D179" s="59" t="e">
        <f>VLOOKUP(C179,code!$A$2:$H$153,2,0)</f>
        <v>#N/A</v>
      </c>
      <c r="E179" s="61"/>
      <c r="F179" s="59"/>
      <c r="G179" s="59"/>
      <c r="H179" s="62"/>
      <c r="I179" s="62"/>
    </row>
    <row r="180" spans="1:9" x14ac:dyDescent="0.3">
      <c r="A180" s="75"/>
      <c r="B180" s="58">
        <f t="shared" ref="B180:B184" si="17">MONTH(A180)</f>
        <v>1</v>
      </c>
      <c r="C180" s="59"/>
      <c r="D180" s="59" t="e">
        <f>VLOOKUP(C180,code!$A$2:$H$153,2,0)</f>
        <v>#N/A</v>
      </c>
      <c r="E180" s="61"/>
      <c r="F180" s="59"/>
      <c r="G180" s="59"/>
      <c r="H180" s="62"/>
      <c r="I180" s="62"/>
    </row>
    <row r="181" spans="1:9" x14ac:dyDescent="0.3">
      <c r="A181" s="75"/>
      <c r="B181" s="58">
        <f t="shared" si="17"/>
        <v>1</v>
      </c>
      <c r="C181" s="59"/>
      <c r="D181" s="59" t="e">
        <f>VLOOKUP(C181,code!$A$2:$H$153,2,0)</f>
        <v>#N/A</v>
      </c>
      <c r="E181" s="61"/>
      <c r="F181" s="59"/>
      <c r="G181" s="59"/>
      <c r="H181" s="62"/>
      <c r="I181" s="62"/>
    </row>
    <row r="182" spans="1:9" x14ac:dyDescent="0.3">
      <c r="A182" s="75"/>
      <c r="B182" s="58">
        <f t="shared" si="17"/>
        <v>1</v>
      </c>
      <c r="C182" s="59"/>
      <c r="D182" s="59" t="e">
        <f>VLOOKUP(C182,code!$A$2:$H$153,2,0)</f>
        <v>#N/A</v>
      </c>
      <c r="E182" s="61"/>
      <c r="F182" s="59"/>
      <c r="G182" s="59"/>
      <c r="H182" s="62"/>
      <c r="I182" s="62"/>
    </row>
    <row r="183" spans="1:9" x14ac:dyDescent="0.3">
      <c r="A183" s="75"/>
      <c r="B183" s="58">
        <f t="shared" si="17"/>
        <v>1</v>
      </c>
      <c r="C183" s="59"/>
      <c r="D183" s="59" t="e">
        <f>VLOOKUP(C183,code!$A$2:$H$153,2,0)</f>
        <v>#N/A</v>
      </c>
      <c r="E183" s="61"/>
      <c r="F183" s="59"/>
      <c r="G183" s="59"/>
      <c r="H183" s="62"/>
      <c r="I183" s="62"/>
    </row>
    <row r="184" spans="1:9" x14ac:dyDescent="0.3">
      <c r="A184" s="75"/>
      <c r="B184" s="58">
        <f t="shared" si="17"/>
        <v>1</v>
      </c>
      <c r="C184" s="59"/>
      <c r="D184" s="59" t="e">
        <f>VLOOKUP(C184,code!$A$2:$H$153,2,0)</f>
        <v>#N/A</v>
      </c>
      <c r="E184" s="61"/>
      <c r="F184" s="59"/>
      <c r="G184" s="59"/>
      <c r="H184" s="62"/>
      <c r="I184" s="62"/>
    </row>
  </sheetData>
  <autoFilter ref="A2:I179"/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3"/>
  <sheetViews>
    <sheetView tabSelected="1" zoomScale="110" zoomScaleNormal="110" workbookViewId="0">
      <selection activeCell="K7" sqref="K7"/>
    </sheetView>
  </sheetViews>
  <sheetFormatPr defaultRowHeight="16.2" x14ac:dyDescent="0.3"/>
  <cols>
    <col min="2" max="2" width="16.33203125" customWidth="1"/>
    <col min="3" max="3" width="51.109375" bestFit="1" customWidth="1"/>
    <col min="4" max="4" width="10.77734375" customWidth="1"/>
    <col min="5" max="9" width="10" customWidth="1"/>
    <col min="10" max="10" width="11.5546875" bestFit="1" customWidth="1"/>
  </cols>
  <sheetData>
    <row r="1" spans="2:22" x14ac:dyDescent="0.3">
      <c r="B1" s="77" t="s">
        <v>226</v>
      </c>
      <c r="C1" s="77" t="s">
        <v>227</v>
      </c>
    </row>
    <row r="2" spans="2:22" x14ac:dyDescent="0.3">
      <c r="D2" s="78" t="s">
        <v>204</v>
      </c>
      <c r="E2" s="78" t="s">
        <v>205</v>
      </c>
      <c r="F2" s="78" t="s">
        <v>206</v>
      </c>
      <c r="G2" s="78" t="s">
        <v>250</v>
      </c>
      <c r="H2" s="78" t="s">
        <v>208</v>
      </c>
      <c r="I2" s="78" t="s">
        <v>209</v>
      </c>
      <c r="J2" s="78"/>
      <c r="K2" s="78" t="s">
        <v>208</v>
      </c>
      <c r="L2" s="78" t="s">
        <v>208</v>
      </c>
      <c r="M2" s="78" t="s">
        <v>208</v>
      </c>
      <c r="N2" s="78" t="s">
        <v>208</v>
      </c>
      <c r="O2" s="78"/>
    </row>
    <row r="3" spans="2:22" x14ac:dyDescent="0.3">
      <c r="B3" s="37"/>
      <c r="C3" s="37"/>
      <c r="D3" s="37"/>
    </row>
    <row r="4" spans="2:22" x14ac:dyDescent="0.3">
      <c r="B4" s="76" t="s">
        <v>47</v>
      </c>
      <c r="C4" s="37"/>
      <c r="D4" s="76" t="s">
        <v>190</v>
      </c>
      <c r="E4" s="37"/>
      <c r="F4" s="37"/>
      <c r="G4" s="37"/>
      <c r="H4" s="37"/>
      <c r="I4" s="37"/>
      <c r="J4" s="37"/>
    </row>
    <row r="5" spans="2:22" x14ac:dyDescent="0.3">
      <c r="B5" s="76" t="s">
        <v>191</v>
      </c>
      <c r="C5" s="76" t="s">
        <v>46</v>
      </c>
      <c r="D5" s="37">
        <v>1</v>
      </c>
      <c r="E5" s="37">
        <v>2</v>
      </c>
      <c r="F5" s="37">
        <v>3</v>
      </c>
      <c r="G5" s="37">
        <v>4</v>
      </c>
      <c r="H5" s="37">
        <v>5</v>
      </c>
      <c r="I5" s="37">
        <v>6</v>
      </c>
      <c r="J5" s="37" t="s">
        <v>192</v>
      </c>
    </row>
    <row r="6" spans="2:22" x14ac:dyDescent="0.3">
      <c r="B6" s="49" t="s">
        <v>9</v>
      </c>
      <c r="C6" s="49" t="s">
        <v>31</v>
      </c>
      <c r="D6" s="120">
        <v>486.43</v>
      </c>
      <c r="E6" s="120">
        <v>760.78</v>
      </c>
      <c r="F6" s="120">
        <v>1100.01</v>
      </c>
      <c r="G6" s="120">
        <v>756.53</v>
      </c>
      <c r="H6" s="120">
        <v>404.69</v>
      </c>
      <c r="I6" s="120">
        <v>1429.3899999999999</v>
      </c>
      <c r="J6" s="120">
        <v>4937.83</v>
      </c>
      <c r="K6" s="121"/>
      <c r="L6" s="121"/>
      <c r="M6" s="121"/>
      <c r="N6" s="121"/>
      <c r="O6" s="121"/>
      <c r="P6" s="121"/>
      <c r="Q6" s="121"/>
      <c r="R6" s="121"/>
      <c r="S6" s="108"/>
      <c r="T6" s="108"/>
      <c r="U6" s="108"/>
      <c r="V6" s="108"/>
    </row>
    <row r="7" spans="2:22" x14ac:dyDescent="0.3">
      <c r="B7" s="49" t="s">
        <v>11</v>
      </c>
      <c r="C7" s="49" t="s">
        <v>33</v>
      </c>
      <c r="D7" s="120">
        <v>2000</v>
      </c>
      <c r="E7" s="120">
        <v>2000</v>
      </c>
      <c r="F7" s="120">
        <v>2000</v>
      </c>
      <c r="G7" s="120">
        <v>2000</v>
      </c>
      <c r="H7" s="120">
        <v>2000</v>
      </c>
      <c r="I7" s="120">
        <v>2000</v>
      </c>
      <c r="J7" s="120">
        <v>12000</v>
      </c>
      <c r="K7" s="121"/>
      <c r="L7" s="121"/>
      <c r="M7" s="121"/>
      <c r="N7" s="121"/>
      <c r="O7" s="121"/>
      <c r="P7" s="121"/>
      <c r="Q7" s="121"/>
      <c r="R7" s="121"/>
      <c r="S7" s="108"/>
      <c r="T7" s="108"/>
      <c r="U7" s="108"/>
      <c r="V7" s="108"/>
    </row>
    <row r="8" spans="2:22" x14ac:dyDescent="0.3">
      <c r="B8" s="49" t="s">
        <v>22</v>
      </c>
      <c r="C8" s="49" t="s">
        <v>240</v>
      </c>
      <c r="D8" s="120"/>
      <c r="E8" s="120"/>
      <c r="F8" s="120">
        <v>110.55</v>
      </c>
      <c r="G8" s="120"/>
      <c r="H8" s="120"/>
      <c r="I8" s="120"/>
      <c r="J8" s="120">
        <v>110.55</v>
      </c>
      <c r="K8" s="121"/>
      <c r="L8" s="121"/>
      <c r="M8" s="121"/>
      <c r="N8" s="121"/>
      <c r="O8" s="121"/>
      <c r="P8" s="121"/>
      <c r="Q8" s="121"/>
      <c r="R8" s="121"/>
      <c r="S8" s="108"/>
      <c r="T8" s="108"/>
      <c r="U8" s="108"/>
      <c r="V8" s="108"/>
    </row>
    <row r="9" spans="2:22" x14ac:dyDescent="0.3">
      <c r="B9" s="49" t="s">
        <v>140</v>
      </c>
      <c r="C9" s="49" t="s">
        <v>66</v>
      </c>
      <c r="D9" s="120"/>
      <c r="E9" s="120"/>
      <c r="F9" s="120">
        <v>556.34999999999991</v>
      </c>
      <c r="G9" s="120"/>
      <c r="H9" s="120"/>
      <c r="I9" s="120"/>
      <c r="J9" s="120">
        <v>556.34999999999991</v>
      </c>
      <c r="K9" s="121"/>
      <c r="L9" s="121"/>
      <c r="M9" s="121"/>
      <c r="N9" s="121"/>
      <c r="O9" s="121"/>
      <c r="P9" s="121"/>
      <c r="Q9" s="121"/>
      <c r="R9" s="121"/>
      <c r="S9" s="108"/>
      <c r="T9" s="108"/>
      <c r="U9" s="108"/>
      <c r="V9" s="108"/>
    </row>
    <row r="10" spans="2:22" x14ac:dyDescent="0.3">
      <c r="B10" s="49" t="s">
        <v>18</v>
      </c>
      <c r="C10" s="49" t="s">
        <v>39</v>
      </c>
      <c r="D10" s="120"/>
      <c r="E10" s="120"/>
      <c r="F10" s="120">
        <v>400</v>
      </c>
      <c r="G10" s="120">
        <v>400</v>
      </c>
      <c r="H10" s="120"/>
      <c r="I10" s="120"/>
      <c r="J10" s="120">
        <v>800</v>
      </c>
      <c r="K10" s="121"/>
      <c r="L10" s="121"/>
      <c r="M10" s="121"/>
      <c r="N10" s="121"/>
      <c r="O10" s="121"/>
      <c r="P10" s="121"/>
      <c r="Q10" s="121"/>
      <c r="R10" s="121"/>
      <c r="S10" s="108"/>
      <c r="T10" s="108"/>
      <c r="U10" s="108"/>
      <c r="V10" s="108"/>
    </row>
    <row r="11" spans="2:22" x14ac:dyDescent="0.3">
      <c r="B11" s="49" t="s">
        <v>57</v>
      </c>
      <c r="C11" s="49" t="s">
        <v>41</v>
      </c>
      <c r="D11" s="120"/>
      <c r="E11" s="120"/>
      <c r="F11" s="120">
        <v>21.46</v>
      </c>
      <c r="G11" s="120"/>
      <c r="H11" s="120"/>
      <c r="I11" s="120"/>
      <c r="J11" s="120">
        <v>21.46</v>
      </c>
      <c r="K11" s="121"/>
      <c r="L11" s="121"/>
      <c r="M11" s="121"/>
      <c r="N11" s="121"/>
      <c r="O11" s="121"/>
      <c r="P11" s="121"/>
      <c r="Q11" s="121"/>
      <c r="R11" s="121"/>
      <c r="S11" s="108"/>
      <c r="T11" s="108"/>
      <c r="U11" s="108"/>
      <c r="V11" s="108"/>
    </row>
    <row r="12" spans="2:22" x14ac:dyDescent="0.3">
      <c r="B12" s="49" t="s">
        <v>8</v>
      </c>
      <c r="C12" s="49" t="s">
        <v>240</v>
      </c>
      <c r="D12" s="120"/>
      <c r="E12" s="120"/>
      <c r="F12" s="120"/>
      <c r="G12" s="120">
        <v>330.87</v>
      </c>
      <c r="H12" s="120">
        <v>260.47000000000003</v>
      </c>
      <c r="I12" s="120"/>
      <c r="J12" s="120">
        <v>591.34</v>
      </c>
      <c r="K12" s="121"/>
      <c r="L12" s="121"/>
      <c r="M12" s="121"/>
      <c r="N12" s="121"/>
      <c r="O12" s="121"/>
      <c r="P12" s="121"/>
      <c r="Q12" s="121"/>
      <c r="R12" s="121"/>
      <c r="S12" s="108"/>
      <c r="T12" s="108"/>
      <c r="U12" s="108"/>
      <c r="V12" s="108"/>
    </row>
    <row r="13" spans="2:22" x14ac:dyDescent="0.3">
      <c r="B13" s="49" t="s">
        <v>192</v>
      </c>
      <c r="C13" s="37"/>
      <c r="D13" s="120">
        <v>2486.4299999999998</v>
      </c>
      <c r="E13" s="120">
        <v>2760.7799999999997</v>
      </c>
      <c r="F13" s="120">
        <v>4188.37</v>
      </c>
      <c r="G13" s="120">
        <v>3487.3999999999996</v>
      </c>
      <c r="H13" s="120">
        <v>2665.16</v>
      </c>
      <c r="I13" s="120">
        <v>3429.39</v>
      </c>
      <c r="J13" s="120">
        <v>19017.53</v>
      </c>
      <c r="K13" s="121"/>
      <c r="L13" s="121"/>
      <c r="M13" s="121"/>
      <c r="N13" s="121"/>
      <c r="O13" s="121"/>
      <c r="P13" s="121"/>
      <c r="Q13" s="121"/>
      <c r="R13" s="121"/>
      <c r="S13" s="108"/>
      <c r="T13" s="108"/>
      <c r="U13" s="108"/>
      <c r="V13" s="108"/>
    </row>
    <row r="14" spans="2:22" x14ac:dyDescent="0.3"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08"/>
      <c r="T14" s="108"/>
      <c r="U14" s="108"/>
      <c r="V14" s="108"/>
    </row>
    <row r="15" spans="2:22" x14ac:dyDescent="0.3"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08"/>
      <c r="T15" s="108"/>
      <c r="U15" s="108"/>
      <c r="V15" s="108"/>
    </row>
    <row r="16" spans="2:22" x14ac:dyDescent="0.3"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08"/>
      <c r="T16" s="108"/>
      <c r="U16" s="108"/>
      <c r="V16" s="108"/>
    </row>
    <row r="17" spans="4:22" x14ac:dyDescent="0.3"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08"/>
      <c r="T17" s="108"/>
      <c r="U17" s="108"/>
      <c r="V17" s="108"/>
    </row>
    <row r="18" spans="4:22" x14ac:dyDescent="0.3"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08"/>
      <c r="T18" s="108"/>
      <c r="U18" s="108"/>
      <c r="V18" s="108"/>
    </row>
    <row r="19" spans="4:22" x14ac:dyDescent="0.3"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08"/>
      <c r="T19" s="108"/>
      <c r="U19" s="108"/>
      <c r="V19" s="108"/>
    </row>
    <row r="20" spans="4:22" x14ac:dyDescent="0.3"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08"/>
      <c r="T20" s="108"/>
      <c r="U20" s="108"/>
      <c r="V20" s="108"/>
    </row>
    <row r="21" spans="4:22" x14ac:dyDescent="0.3"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08"/>
      <c r="T21" s="108"/>
      <c r="U21" s="108"/>
      <c r="V21" s="108"/>
    </row>
    <row r="22" spans="4:22" x14ac:dyDescent="0.3"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08"/>
      <c r="T22" s="108"/>
      <c r="U22" s="108"/>
      <c r="V22" s="108"/>
    </row>
    <row r="23" spans="4:22" x14ac:dyDescent="0.3"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08"/>
      <c r="T23" s="108"/>
      <c r="U23" s="108"/>
      <c r="V23" s="108"/>
    </row>
    <row r="24" spans="4:22" x14ac:dyDescent="0.3"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08"/>
      <c r="T24" s="108"/>
      <c r="U24" s="108"/>
      <c r="V24" s="108"/>
    </row>
    <row r="25" spans="4:22" x14ac:dyDescent="0.3"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</row>
    <row r="26" spans="4:22" x14ac:dyDescent="0.3"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</row>
    <row r="27" spans="4:22" x14ac:dyDescent="0.3"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</row>
    <row r="28" spans="4:22" x14ac:dyDescent="0.3"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</row>
    <row r="29" spans="4:22" x14ac:dyDescent="0.3"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</row>
    <row r="30" spans="4:22" x14ac:dyDescent="0.3"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</row>
    <row r="31" spans="4:22" x14ac:dyDescent="0.3"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</row>
    <row r="32" spans="4:22" x14ac:dyDescent="0.3"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</row>
    <row r="33" spans="4:22" x14ac:dyDescent="0.3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workbookViewId="0">
      <selection activeCell="A8" sqref="A8:XFD8"/>
    </sheetView>
  </sheetViews>
  <sheetFormatPr defaultRowHeight="16.2" x14ac:dyDescent="0.3"/>
  <sheetData>
    <row r="1" spans="1:9" ht="16.8" thickBot="1" x14ac:dyDescent="0.3">
      <c r="A1" s="9" t="s">
        <v>48</v>
      </c>
      <c r="B1" s="10" t="s">
        <v>46</v>
      </c>
      <c r="C1" s="10"/>
      <c r="D1" s="10"/>
      <c r="E1" s="10"/>
      <c r="F1" s="11"/>
      <c r="G1" s="11"/>
      <c r="H1" s="12" t="s">
        <v>49</v>
      </c>
      <c r="I1" s="13"/>
    </row>
    <row r="2" spans="1:9" x14ac:dyDescent="0.25">
      <c r="A2" s="14" t="s">
        <v>50</v>
      </c>
      <c r="B2" s="15" t="s">
        <v>51</v>
      </c>
      <c r="C2" s="16"/>
      <c r="D2" s="16"/>
      <c r="E2" s="16"/>
      <c r="F2" s="16"/>
      <c r="G2" s="16"/>
      <c r="H2" s="17"/>
      <c r="I2" s="18"/>
    </row>
    <row r="3" spans="1:9" x14ac:dyDescent="0.25">
      <c r="A3" s="19" t="s">
        <v>52</v>
      </c>
      <c r="B3" s="19" t="s">
        <v>53</v>
      </c>
      <c r="C3" s="20"/>
      <c r="D3" s="20"/>
      <c r="E3" s="20"/>
      <c r="F3" s="20"/>
      <c r="G3" s="20"/>
      <c r="H3" s="19" t="s">
        <v>54</v>
      </c>
      <c r="I3" s="21"/>
    </row>
    <row r="4" spans="1:9" x14ac:dyDescent="0.25">
      <c r="A4" s="19" t="s">
        <v>17</v>
      </c>
      <c r="B4" s="19" t="s">
        <v>38</v>
      </c>
      <c r="C4" s="20"/>
      <c r="D4" s="20"/>
      <c r="E4" s="20"/>
      <c r="F4" s="20"/>
      <c r="G4" s="20"/>
      <c r="H4" s="19"/>
      <c r="I4" s="21"/>
    </row>
    <row r="5" spans="1:9" x14ac:dyDescent="0.25">
      <c r="A5" s="19" t="s">
        <v>12</v>
      </c>
      <c r="B5" s="19" t="s">
        <v>34</v>
      </c>
      <c r="C5" s="20"/>
      <c r="D5" s="20"/>
      <c r="E5" s="20"/>
      <c r="F5" s="20"/>
      <c r="G5" s="20"/>
      <c r="H5" s="19"/>
      <c r="I5" s="21"/>
    </row>
    <row r="6" spans="1:9" x14ac:dyDescent="0.25">
      <c r="A6" s="19" t="s">
        <v>55</v>
      </c>
      <c r="B6" s="19" t="s">
        <v>56</v>
      </c>
      <c r="C6" s="20"/>
      <c r="D6" s="20"/>
      <c r="E6" s="20"/>
      <c r="F6" s="20"/>
      <c r="G6" s="20"/>
      <c r="H6" s="19"/>
      <c r="I6" s="21"/>
    </row>
    <row r="7" spans="1:9" x14ac:dyDescent="0.25">
      <c r="A7" s="19" t="s">
        <v>57</v>
      </c>
      <c r="B7" s="19" t="s">
        <v>41</v>
      </c>
      <c r="C7" s="20"/>
      <c r="D7" s="20"/>
      <c r="E7" s="20"/>
      <c r="F7" s="20"/>
      <c r="G7" s="20"/>
      <c r="H7" s="19"/>
      <c r="I7" s="21"/>
    </row>
    <row r="8" spans="1:9" x14ac:dyDescent="0.25">
      <c r="A8" s="19" t="s">
        <v>14</v>
      </c>
      <c r="B8" s="19" t="s">
        <v>36</v>
      </c>
      <c r="C8" s="20"/>
      <c r="D8" s="20"/>
      <c r="E8" s="20"/>
      <c r="F8" s="20"/>
      <c r="G8" s="20"/>
      <c r="H8" s="19"/>
      <c r="I8" s="21"/>
    </row>
    <row r="9" spans="1:9" x14ac:dyDescent="0.25">
      <c r="A9" s="19" t="s">
        <v>9</v>
      </c>
      <c r="B9" s="19" t="s">
        <v>31</v>
      </c>
      <c r="C9" s="20"/>
      <c r="D9" s="20"/>
      <c r="E9" s="20"/>
      <c r="F9" s="20"/>
      <c r="G9" s="20"/>
      <c r="H9" s="19"/>
      <c r="I9" s="21"/>
    </row>
    <row r="10" spans="1:9" x14ac:dyDescent="0.25">
      <c r="A10" s="19" t="s">
        <v>58</v>
      </c>
      <c r="B10" s="21" t="s">
        <v>59</v>
      </c>
      <c r="C10" s="20"/>
      <c r="D10" s="20"/>
      <c r="E10" s="20"/>
      <c r="F10" s="20"/>
      <c r="G10" s="20"/>
      <c r="H10" s="19"/>
      <c r="I10" s="21"/>
    </row>
    <row r="11" spans="1:9" x14ac:dyDescent="0.25">
      <c r="A11" s="19" t="s">
        <v>10</v>
      </c>
      <c r="B11" s="19" t="s">
        <v>32</v>
      </c>
      <c r="C11" s="20"/>
      <c r="D11" s="20"/>
      <c r="E11" s="20"/>
      <c r="F11" s="20"/>
      <c r="G11" s="20"/>
      <c r="H11" s="19"/>
      <c r="I11" s="21"/>
    </row>
    <row r="12" spans="1:9" x14ac:dyDescent="0.25">
      <c r="A12" s="19" t="s">
        <v>20</v>
      </c>
      <c r="B12" s="19" t="s">
        <v>60</v>
      </c>
      <c r="C12" s="20"/>
      <c r="D12" s="20"/>
      <c r="E12" s="20"/>
      <c r="F12" s="20"/>
      <c r="G12" s="20"/>
      <c r="H12" s="19"/>
      <c r="I12" s="21"/>
    </row>
    <row r="13" spans="1:9" x14ac:dyDescent="0.25">
      <c r="A13" s="19"/>
      <c r="B13" s="19"/>
      <c r="C13" s="20"/>
      <c r="D13" s="20"/>
      <c r="E13" s="20"/>
      <c r="F13" s="20"/>
      <c r="G13" s="20"/>
      <c r="H13" s="19"/>
      <c r="I13" s="21"/>
    </row>
    <row r="14" spans="1:9" x14ac:dyDescent="0.25">
      <c r="A14" s="19"/>
      <c r="B14" s="22" t="s">
        <v>61</v>
      </c>
      <c r="C14" s="20">
        <f>SUM(C3:C13)</f>
        <v>0</v>
      </c>
      <c r="D14" s="20">
        <f>SUM(D3:D13)</f>
        <v>0</v>
      </c>
      <c r="E14" s="20">
        <f>SUM(E3:E13)</f>
        <v>0</v>
      </c>
      <c r="F14" s="20"/>
      <c r="G14" s="20"/>
      <c r="H14" s="19"/>
      <c r="I14" s="21"/>
    </row>
    <row r="15" spans="1:9" x14ac:dyDescent="0.25">
      <c r="A15" s="23" t="s">
        <v>62</v>
      </c>
      <c r="B15" s="24" t="s">
        <v>63</v>
      </c>
      <c r="C15" s="25"/>
      <c r="D15" s="25"/>
      <c r="E15" s="25"/>
      <c r="F15" s="25"/>
      <c r="G15" s="25"/>
      <c r="H15" s="26"/>
      <c r="I15" s="18"/>
    </row>
    <row r="16" spans="1:9" x14ac:dyDescent="0.25">
      <c r="A16" s="19" t="s">
        <v>64</v>
      </c>
      <c r="B16" s="19" t="s">
        <v>53</v>
      </c>
      <c r="C16" s="20"/>
      <c r="D16" s="20"/>
      <c r="E16" s="20"/>
      <c r="F16" s="20"/>
      <c r="G16" s="20"/>
      <c r="H16" s="19" t="s">
        <v>54</v>
      </c>
      <c r="I16" s="21"/>
    </row>
    <row r="17" spans="1:9" x14ac:dyDescent="0.25">
      <c r="A17" s="19" t="s">
        <v>65</v>
      </c>
      <c r="B17" s="19" t="s">
        <v>66</v>
      </c>
      <c r="C17" s="20"/>
      <c r="D17" s="20"/>
      <c r="E17" s="20"/>
      <c r="F17" s="20"/>
      <c r="G17" s="20"/>
      <c r="H17" s="19"/>
      <c r="I17" s="21"/>
    </row>
    <row r="18" spans="1:9" x14ac:dyDescent="0.25">
      <c r="A18" s="19" t="s">
        <v>67</v>
      </c>
      <c r="B18" s="19" t="s">
        <v>34</v>
      </c>
      <c r="C18" s="20"/>
      <c r="D18" s="20"/>
      <c r="E18" s="20"/>
      <c r="F18" s="20"/>
      <c r="G18" s="20"/>
      <c r="H18" s="19"/>
      <c r="I18" s="21"/>
    </row>
    <row r="19" spans="1:9" x14ac:dyDescent="0.25">
      <c r="A19" s="19" t="s">
        <v>68</v>
      </c>
      <c r="B19" s="19" t="s">
        <v>56</v>
      </c>
      <c r="C19" s="20"/>
      <c r="D19" s="20"/>
      <c r="E19" s="20"/>
      <c r="F19" s="20"/>
      <c r="G19" s="20"/>
      <c r="H19" s="19"/>
      <c r="I19" s="21"/>
    </row>
    <row r="20" spans="1:9" x14ac:dyDescent="0.25">
      <c r="A20" s="19" t="s">
        <v>69</v>
      </c>
      <c r="B20" s="19" t="s">
        <v>41</v>
      </c>
      <c r="C20" s="20"/>
      <c r="D20" s="20"/>
      <c r="E20" s="20"/>
      <c r="F20" s="20"/>
      <c r="G20" s="20"/>
      <c r="H20" s="19"/>
      <c r="I20" s="21"/>
    </row>
    <row r="21" spans="1:9" x14ac:dyDescent="0.25">
      <c r="A21" s="19" t="s">
        <v>70</v>
      </c>
      <c r="B21" s="19" t="s">
        <v>71</v>
      </c>
      <c r="C21" s="20"/>
      <c r="D21" s="20"/>
      <c r="E21" s="20"/>
      <c r="F21" s="20"/>
      <c r="G21" s="20"/>
      <c r="H21" s="19"/>
      <c r="I21" s="21"/>
    </row>
    <row r="22" spans="1:9" x14ac:dyDescent="0.25">
      <c r="A22" s="19" t="s">
        <v>15</v>
      </c>
      <c r="B22" s="19" t="s">
        <v>37</v>
      </c>
      <c r="C22" s="20"/>
      <c r="D22" s="20"/>
      <c r="E22" s="20"/>
      <c r="F22" s="20"/>
      <c r="G22" s="20"/>
      <c r="H22" s="19"/>
      <c r="I22" s="21"/>
    </row>
    <row r="23" spans="1:9" x14ac:dyDescent="0.25">
      <c r="A23" s="19" t="s">
        <v>5</v>
      </c>
      <c r="B23" s="19" t="s">
        <v>72</v>
      </c>
      <c r="C23" s="20"/>
      <c r="D23" s="20"/>
      <c r="E23" s="20"/>
      <c r="F23" s="20"/>
      <c r="G23" s="20"/>
      <c r="H23" s="19"/>
      <c r="I23" s="21"/>
    </row>
    <row r="24" spans="1:9" x14ac:dyDescent="0.25">
      <c r="A24" s="19" t="s">
        <v>73</v>
      </c>
      <c r="B24" s="19" t="s">
        <v>74</v>
      </c>
      <c r="C24" s="20"/>
      <c r="D24" s="20"/>
      <c r="E24" s="20"/>
      <c r="F24" s="20"/>
      <c r="G24" s="20"/>
      <c r="H24" s="19"/>
      <c r="I24" s="21"/>
    </row>
    <row r="25" spans="1:9" x14ac:dyDescent="0.25">
      <c r="A25" s="19" t="s">
        <v>16</v>
      </c>
      <c r="B25" s="19" t="s">
        <v>60</v>
      </c>
      <c r="C25" s="20"/>
      <c r="D25" s="20"/>
      <c r="E25" s="20"/>
      <c r="F25" s="20"/>
      <c r="G25" s="20"/>
      <c r="H25" s="19"/>
      <c r="I25" s="21"/>
    </row>
    <row r="26" spans="1:9" x14ac:dyDescent="0.25">
      <c r="A26" s="36"/>
      <c r="B26" s="19"/>
      <c r="C26" s="20"/>
      <c r="D26" s="20"/>
      <c r="E26" s="20"/>
      <c r="F26" s="20"/>
      <c r="G26" s="20"/>
      <c r="H26" s="19"/>
      <c r="I26" s="21"/>
    </row>
    <row r="27" spans="1:9" x14ac:dyDescent="0.25">
      <c r="A27" s="19"/>
      <c r="B27" s="22" t="s">
        <v>61</v>
      </c>
      <c r="C27" s="20">
        <f>SUM(C16:C26)</f>
        <v>0</v>
      </c>
      <c r="D27" s="20">
        <f>SUM(D16:D26)</f>
        <v>0</v>
      </c>
      <c r="E27" s="20">
        <f>SUM(E16:E26)</f>
        <v>0</v>
      </c>
      <c r="F27" s="20"/>
      <c r="G27" s="20"/>
      <c r="H27" s="19"/>
      <c r="I27" s="21"/>
    </row>
    <row r="28" spans="1:9" x14ac:dyDescent="0.25">
      <c r="A28" s="23" t="s">
        <v>75</v>
      </c>
      <c r="B28" s="24" t="s">
        <v>184</v>
      </c>
      <c r="C28" s="27"/>
      <c r="D28" s="27"/>
      <c r="E28" s="27"/>
      <c r="F28" s="27"/>
      <c r="G28" s="27"/>
      <c r="H28" s="28"/>
      <c r="I28" s="29"/>
    </row>
    <row r="29" spans="1:9" x14ac:dyDescent="0.25">
      <c r="A29" s="19" t="s">
        <v>76</v>
      </c>
      <c r="B29" s="19" t="s">
        <v>44</v>
      </c>
      <c r="C29" s="20"/>
      <c r="D29" s="20"/>
      <c r="E29" s="20"/>
      <c r="F29" s="20"/>
      <c r="G29" s="20"/>
      <c r="H29" s="19" t="s">
        <v>54</v>
      </c>
      <c r="I29" s="21"/>
    </row>
    <row r="30" spans="1:9" x14ac:dyDescent="0.25">
      <c r="A30" s="19" t="s">
        <v>77</v>
      </c>
      <c r="B30" s="19" t="s">
        <v>66</v>
      </c>
      <c r="C30" s="20"/>
      <c r="D30" s="20"/>
      <c r="E30" s="20"/>
      <c r="F30" s="20"/>
      <c r="G30" s="20"/>
      <c r="H30" s="19"/>
      <c r="I30" s="21"/>
    </row>
    <row r="31" spans="1:9" x14ac:dyDescent="0.25">
      <c r="A31" s="19" t="s">
        <v>78</v>
      </c>
      <c r="B31" s="19" t="s">
        <v>34</v>
      </c>
      <c r="C31" s="20"/>
      <c r="D31" s="20"/>
      <c r="E31" s="20"/>
      <c r="F31" s="20"/>
      <c r="G31" s="20"/>
      <c r="H31" s="19"/>
      <c r="I31" s="21"/>
    </row>
    <row r="32" spans="1:9" x14ac:dyDescent="0.25">
      <c r="A32" s="19" t="s">
        <v>79</v>
      </c>
      <c r="B32" s="19" t="s">
        <v>56</v>
      </c>
      <c r="C32" s="20"/>
      <c r="D32" s="20"/>
      <c r="E32" s="20"/>
      <c r="F32" s="20"/>
      <c r="G32" s="20"/>
      <c r="H32" s="19"/>
      <c r="I32" s="21"/>
    </row>
    <row r="33" spans="1:9" x14ac:dyDescent="0.25">
      <c r="A33" s="19" t="s">
        <v>80</v>
      </c>
      <c r="B33" s="19" t="s">
        <v>81</v>
      </c>
      <c r="C33" s="20"/>
      <c r="D33" s="20"/>
      <c r="E33" s="20"/>
      <c r="F33" s="20"/>
      <c r="G33" s="20"/>
      <c r="H33" s="19"/>
      <c r="I33" s="21"/>
    </row>
    <row r="34" spans="1:9" x14ac:dyDescent="0.25">
      <c r="A34" s="19" t="s">
        <v>19</v>
      </c>
      <c r="B34" s="19" t="s">
        <v>40</v>
      </c>
      <c r="C34" s="20"/>
      <c r="D34" s="20"/>
      <c r="E34" s="20"/>
      <c r="F34" s="20"/>
      <c r="G34" s="20"/>
      <c r="H34" s="19"/>
      <c r="I34" s="21"/>
    </row>
    <row r="35" spans="1:9" x14ac:dyDescent="0.25">
      <c r="A35" s="19" t="s">
        <v>11</v>
      </c>
      <c r="B35" s="19" t="s">
        <v>33</v>
      </c>
      <c r="C35" s="20"/>
      <c r="D35" s="20"/>
      <c r="E35" s="20"/>
      <c r="F35" s="20"/>
      <c r="G35" s="20"/>
      <c r="H35" s="19" t="s">
        <v>82</v>
      </c>
      <c r="I35" s="21"/>
    </row>
    <row r="36" spans="1:9" x14ac:dyDescent="0.25">
      <c r="A36" s="19" t="s">
        <v>6</v>
      </c>
      <c r="B36" s="19" t="s">
        <v>29</v>
      </c>
      <c r="C36" s="20"/>
      <c r="D36" s="20"/>
      <c r="E36" s="20"/>
      <c r="F36" s="20"/>
      <c r="G36" s="20"/>
      <c r="H36" s="19"/>
      <c r="I36" s="21"/>
    </row>
    <row r="37" spans="1:9" x14ac:dyDescent="0.25">
      <c r="A37" s="19" t="s">
        <v>83</v>
      </c>
      <c r="B37" s="19" t="s">
        <v>84</v>
      </c>
      <c r="C37" s="20"/>
      <c r="D37" s="20"/>
      <c r="E37" s="20"/>
      <c r="F37" s="20"/>
      <c r="G37" s="20"/>
      <c r="H37" s="19"/>
      <c r="I37" s="21"/>
    </row>
    <row r="38" spans="1:9" x14ac:dyDescent="0.25">
      <c r="A38" s="19" t="s">
        <v>25</v>
      </c>
      <c r="B38" s="19" t="s">
        <v>85</v>
      </c>
      <c r="C38" s="20"/>
      <c r="D38" s="20"/>
      <c r="E38" s="20"/>
      <c r="F38" s="20"/>
      <c r="G38" s="20"/>
      <c r="H38" s="19"/>
      <c r="I38" s="21"/>
    </row>
    <row r="39" spans="1:9" x14ac:dyDescent="0.25">
      <c r="A39" s="19"/>
      <c r="B39" s="19"/>
      <c r="C39" s="20"/>
      <c r="D39" s="20"/>
      <c r="E39" s="20"/>
      <c r="F39" s="20"/>
      <c r="G39" s="20"/>
      <c r="H39" s="19"/>
      <c r="I39" s="21"/>
    </row>
    <row r="40" spans="1:9" x14ac:dyDescent="0.25">
      <c r="A40" s="19"/>
      <c r="B40" s="22" t="s">
        <v>61</v>
      </c>
      <c r="C40" s="20">
        <f>SUM(C29:C39)</f>
        <v>0</v>
      </c>
      <c r="D40" s="20">
        <f>SUM(D29:D39)</f>
        <v>0</v>
      </c>
      <c r="E40" s="20">
        <f>SUM(E29:E39)</f>
        <v>0</v>
      </c>
      <c r="F40" s="20"/>
      <c r="G40" s="20"/>
      <c r="H40" s="19"/>
      <c r="I40" s="21"/>
    </row>
    <row r="41" spans="1:9" x14ac:dyDescent="0.25">
      <c r="A41" s="23" t="s">
        <v>86</v>
      </c>
      <c r="B41" s="24" t="s">
        <v>87</v>
      </c>
      <c r="C41" s="27"/>
      <c r="D41" s="27"/>
      <c r="E41" s="27"/>
      <c r="F41" s="27"/>
      <c r="G41" s="27"/>
      <c r="H41" s="28"/>
      <c r="I41" s="29"/>
    </row>
    <row r="42" spans="1:9" x14ac:dyDescent="0.25">
      <c r="A42" s="19" t="s">
        <v>13</v>
      </c>
      <c r="B42" s="19" t="s">
        <v>35</v>
      </c>
      <c r="C42" s="20"/>
      <c r="D42" s="20"/>
      <c r="E42" s="20"/>
      <c r="F42" s="20"/>
      <c r="G42" s="20"/>
      <c r="H42" s="19"/>
      <c r="I42" s="21"/>
    </row>
    <row r="43" spans="1:9" x14ac:dyDescent="0.25">
      <c r="A43" s="19" t="s">
        <v>88</v>
      </c>
      <c r="B43" s="19" t="s">
        <v>89</v>
      </c>
      <c r="C43" s="20"/>
      <c r="D43" s="20"/>
      <c r="E43" s="20"/>
      <c r="F43" s="20"/>
      <c r="G43" s="20"/>
      <c r="H43" s="19"/>
      <c r="I43" s="21"/>
    </row>
    <row r="44" spans="1:9" x14ac:dyDescent="0.25">
      <c r="A44" s="19" t="s">
        <v>90</v>
      </c>
      <c r="B44" s="19" t="s">
        <v>91</v>
      </c>
      <c r="C44" s="20"/>
      <c r="D44" s="20"/>
      <c r="E44" s="20"/>
      <c r="F44" s="20"/>
      <c r="G44" s="20"/>
      <c r="H44" s="19"/>
      <c r="I44" s="21"/>
    </row>
    <row r="45" spans="1:9" x14ac:dyDescent="0.25">
      <c r="A45" s="19" t="s">
        <v>92</v>
      </c>
      <c r="B45" s="19" t="s">
        <v>93</v>
      </c>
      <c r="C45" s="20"/>
      <c r="D45" s="20"/>
      <c r="E45" s="20"/>
      <c r="F45" s="20"/>
      <c r="G45" s="20"/>
      <c r="H45" s="19"/>
      <c r="I45" s="21"/>
    </row>
    <row r="46" spans="1:9" x14ac:dyDescent="0.25">
      <c r="A46" s="19" t="s">
        <v>94</v>
      </c>
      <c r="B46" s="19" t="s">
        <v>95</v>
      </c>
      <c r="C46" s="20"/>
      <c r="D46" s="20"/>
      <c r="E46" s="20"/>
      <c r="F46" s="20"/>
      <c r="G46" s="20"/>
      <c r="H46" s="19"/>
      <c r="I46" s="21"/>
    </row>
    <row r="47" spans="1:9" x14ac:dyDescent="0.25">
      <c r="A47" s="19" t="s">
        <v>96</v>
      </c>
      <c r="B47" s="19" t="s">
        <v>97</v>
      </c>
      <c r="C47" s="20"/>
      <c r="D47" s="20"/>
      <c r="E47" s="20"/>
      <c r="F47" s="20"/>
      <c r="G47" s="20"/>
      <c r="H47" s="19"/>
      <c r="I47" s="21"/>
    </row>
    <row r="48" spans="1:9" x14ac:dyDescent="0.25">
      <c r="A48" s="19" t="s">
        <v>98</v>
      </c>
      <c r="B48" s="19" t="s">
        <v>99</v>
      </c>
      <c r="C48" s="20"/>
      <c r="D48" s="20"/>
      <c r="E48" s="20"/>
      <c r="F48" s="20"/>
      <c r="G48" s="20"/>
      <c r="H48" s="19"/>
      <c r="I48" s="21"/>
    </row>
    <row r="49" spans="1:9" x14ac:dyDescent="0.25">
      <c r="A49" s="19" t="s">
        <v>100</v>
      </c>
      <c r="B49" s="19" t="s">
        <v>101</v>
      </c>
      <c r="C49" s="20"/>
      <c r="D49" s="20"/>
      <c r="E49" s="20"/>
      <c r="F49" s="20"/>
      <c r="G49" s="20"/>
      <c r="H49" s="19"/>
      <c r="I49" s="21"/>
    </row>
    <row r="50" spans="1:9" x14ac:dyDescent="0.25">
      <c r="A50" s="19" t="s">
        <v>102</v>
      </c>
      <c r="B50" s="19" t="s">
        <v>103</v>
      </c>
      <c r="C50" s="20"/>
      <c r="D50" s="20"/>
      <c r="E50" s="20"/>
      <c r="F50" s="20"/>
      <c r="G50" s="20"/>
      <c r="H50" s="19"/>
      <c r="I50" s="21"/>
    </row>
    <row r="51" spans="1:9" x14ac:dyDescent="0.25">
      <c r="A51" s="19" t="s">
        <v>24</v>
      </c>
      <c r="B51" s="19" t="s">
        <v>60</v>
      </c>
      <c r="C51" s="20"/>
      <c r="D51" s="20"/>
      <c r="E51" s="20"/>
      <c r="F51" s="20"/>
      <c r="G51" s="20"/>
      <c r="H51" s="19"/>
      <c r="I51" s="21"/>
    </row>
    <row r="52" spans="1:9" x14ac:dyDescent="0.25">
      <c r="A52" s="19"/>
      <c r="B52" s="19"/>
      <c r="C52" s="20"/>
      <c r="D52" s="20"/>
      <c r="E52" s="20"/>
      <c r="F52" s="20"/>
      <c r="G52" s="20"/>
      <c r="H52" s="19"/>
      <c r="I52" s="21"/>
    </row>
    <row r="53" spans="1:9" x14ac:dyDescent="0.25">
      <c r="A53" s="19"/>
      <c r="B53" s="22" t="s">
        <v>61</v>
      </c>
      <c r="C53" s="20">
        <f>SUM(C42:C52)</f>
        <v>0</v>
      </c>
      <c r="D53" s="20">
        <f>SUM(D42:D52)</f>
        <v>0</v>
      </c>
      <c r="E53" s="20">
        <f>SUM(E42:E52)</f>
        <v>0</v>
      </c>
      <c r="F53" s="20"/>
      <c r="G53" s="20"/>
      <c r="H53" s="19"/>
      <c r="I53" s="21"/>
    </row>
    <row r="54" spans="1:9" x14ac:dyDescent="0.25">
      <c r="A54" s="23" t="s">
        <v>104</v>
      </c>
      <c r="B54" s="24" t="s">
        <v>105</v>
      </c>
      <c r="C54" s="25"/>
      <c r="D54" s="25"/>
      <c r="E54" s="25"/>
      <c r="F54" s="25"/>
      <c r="G54" s="25"/>
      <c r="H54" s="26"/>
      <c r="I54" s="18"/>
    </row>
    <row r="55" spans="1:9" x14ac:dyDescent="0.25">
      <c r="A55" s="19" t="s">
        <v>106</v>
      </c>
      <c r="B55" s="19" t="s">
        <v>107</v>
      </c>
      <c r="C55" s="20"/>
      <c r="D55" s="20"/>
      <c r="E55" s="20"/>
      <c r="F55" s="20"/>
      <c r="G55" s="20"/>
      <c r="H55" s="19"/>
      <c r="I55" s="21"/>
    </row>
    <row r="56" spans="1:9" x14ac:dyDescent="0.25">
      <c r="A56" s="19" t="s">
        <v>108</v>
      </c>
      <c r="B56" s="19" t="s">
        <v>109</v>
      </c>
      <c r="C56" s="20"/>
      <c r="D56" s="20"/>
      <c r="E56" s="20"/>
      <c r="F56" s="20"/>
      <c r="G56" s="20"/>
      <c r="H56" s="19"/>
      <c r="I56" s="21"/>
    </row>
    <row r="57" spans="1:9" x14ac:dyDescent="0.25">
      <c r="A57" s="19" t="s">
        <v>110</v>
      </c>
      <c r="B57" s="19" t="s">
        <v>111</v>
      </c>
      <c r="C57" s="20"/>
      <c r="D57" s="20"/>
      <c r="E57" s="20"/>
      <c r="F57" s="20"/>
      <c r="G57" s="20"/>
      <c r="H57" s="19"/>
      <c r="I57" s="21"/>
    </row>
    <row r="58" spans="1:9" x14ac:dyDescent="0.25">
      <c r="A58" s="19" t="s">
        <v>112</v>
      </c>
      <c r="B58" s="19" t="s">
        <v>113</v>
      </c>
      <c r="C58" s="20"/>
      <c r="D58" s="20"/>
      <c r="E58" s="20"/>
      <c r="F58" s="20"/>
      <c r="G58" s="20"/>
      <c r="H58" s="19"/>
      <c r="I58" s="21"/>
    </row>
    <row r="59" spans="1:9" x14ac:dyDescent="0.25">
      <c r="A59" s="19" t="s">
        <v>114</v>
      </c>
      <c r="B59" s="19"/>
      <c r="C59" s="20"/>
      <c r="D59" s="20"/>
      <c r="E59" s="20"/>
      <c r="F59" s="20"/>
      <c r="G59" s="20"/>
      <c r="H59" s="19"/>
      <c r="I59" s="21"/>
    </row>
    <row r="60" spans="1:9" x14ac:dyDescent="0.25">
      <c r="A60" s="19" t="s">
        <v>115</v>
      </c>
      <c r="B60" s="19"/>
      <c r="C60" s="20"/>
      <c r="D60" s="20"/>
      <c r="E60" s="20"/>
      <c r="F60" s="20"/>
      <c r="G60" s="20"/>
      <c r="H60" s="19"/>
      <c r="I60" s="21"/>
    </row>
    <row r="61" spans="1:9" x14ac:dyDescent="0.25">
      <c r="A61" s="19" t="s">
        <v>116</v>
      </c>
      <c r="B61" s="19"/>
      <c r="C61" s="20"/>
      <c r="D61" s="20"/>
      <c r="E61" s="20"/>
      <c r="F61" s="20"/>
      <c r="G61" s="20"/>
      <c r="H61" s="19"/>
      <c r="I61" s="21"/>
    </row>
    <row r="62" spans="1:9" x14ac:dyDescent="0.25">
      <c r="A62" s="19" t="s">
        <v>117</v>
      </c>
      <c r="B62" s="19"/>
      <c r="C62" s="20"/>
      <c r="D62" s="20"/>
      <c r="E62" s="20"/>
      <c r="F62" s="20"/>
      <c r="G62" s="20"/>
      <c r="H62" s="19"/>
      <c r="I62" s="21"/>
    </row>
    <row r="63" spans="1:9" x14ac:dyDescent="0.25">
      <c r="A63" s="19" t="s">
        <v>118</v>
      </c>
      <c r="B63" s="19" t="s">
        <v>82</v>
      </c>
      <c r="C63" s="20"/>
      <c r="D63" s="20"/>
      <c r="E63" s="20"/>
      <c r="F63" s="20"/>
      <c r="G63" s="20"/>
      <c r="H63" s="19"/>
      <c r="I63" s="21"/>
    </row>
    <row r="64" spans="1:9" x14ac:dyDescent="0.25">
      <c r="A64" s="19" t="s">
        <v>119</v>
      </c>
      <c r="B64" s="19" t="s">
        <v>85</v>
      </c>
      <c r="C64" s="20"/>
      <c r="D64" s="20"/>
      <c r="E64" s="20"/>
      <c r="F64" s="20"/>
      <c r="G64" s="20"/>
      <c r="H64" s="19"/>
      <c r="I64" s="21"/>
    </row>
    <row r="65" spans="1:9" x14ac:dyDescent="0.25">
      <c r="A65" s="19"/>
      <c r="B65" s="19"/>
      <c r="C65" s="20"/>
      <c r="D65" s="20"/>
      <c r="E65" s="20"/>
      <c r="F65" s="20"/>
      <c r="G65" s="20"/>
      <c r="H65" s="19"/>
      <c r="I65" s="21"/>
    </row>
    <row r="66" spans="1:9" x14ac:dyDescent="0.25">
      <c r="A66" s="19"/>
      <c r="B66" s="22" t="s">
        <v>61</v>
      </c>
      <c r="C66" s="20">
        <f>SUM(C55:C64)</f>
        <v>0</v>
      </c>
      <c r="D66" s="20">
        <f>SUM(D55:D64)</f>
        <v>0</v>
      </c>
      <c r="E66" s="20">
        <f>SUM(E55:E64)</f>
        <v>0</v>
      </c>
      <c r="F66" s="20"/>
      <c r="G66" s="20"/>
      <c r="H66" s="19"/>
      <c r="I66" s="21"/>
    </row>
    <row r="67" spans="1:9" x14ac:dyDescent="0.25">
      <c r="A67" s="23" t="s">
        <v>120</v>
      </c>
      <c r="B67" s="24" t="s">
        <v>121</v>
      </c>
      <c r="C67" s="25"/>
      <c r="D67" s="25"/>
      <c r="E67" s="25"/>
      <c r="F67" s="25"/>
      <c r="G67" s="25"/>
      <c r="H67" s="26"/>
      <c r="I67" s="18"/>
    </row>
    <row r="68" spans="1:9" x14ac:dyDescent="0.25">
      <c r="A68" s="19" t="s">
        <v>122</v>
      </c>
      <c r="B68" s="19" t="s">
        <v>44</v>
      </c>
      <c r="C68" s="20"/>
      <c r="D68" s="20"/>
      <c r="E68" s="20"/>
      <c r="F68" s="20"/>
      <c r="G68" s="20"/>
      <c r="H68" s="19" t="s">
        <v>54</v>
      </c>
      <c r="I68" s="21"/>
    </row>
    <row r="69" spans="1:9" x14ac:dyDescent="0.25">
      <c r="A69" s="19" t="s">
        <v>123</v>
      </c>
      <c r="B69" s="19" t="s">
        <v>66</v>
      </c>
      <c r="C69" s="20"/>
      <c r="D69" s="20"/>
      <c r="E69" s="20"/>
      <c r="F69" s="20"/>
      <c r="G69" s="20"/>
      <c r="H69" s="19"/>
      <c r="I69" s="21"/>
    </row>
    <row r="70" spans="1:9" x14ac:dyDescent="0.25">
      <c r="A70" s="19" t="s">
        <v>124</v>
      </c>
      <c r="B70" s="19" t="s">
        <v>34</v>
      </c>
      <c r="C70" s="20"/>
      <c r="D70" s="20"/>
      <c r="E70" s="20"/>
      <c r="F70" s="20"/>
      <c r="G70" s="20"/>
      <c r="H70" s="19"/>
      <c r="I70" s="21"/>
    </row>
    <row r="71" spans="1:9" x14ac:dyDescent="0.25">
      <c r="A71" s="19" t="s">
        <v>125</v>
      </c>
      <c r="B71" s="19" t="s">
        <v>56</v>
      </c>
      <c r="C71" s="20"/>
      <c r="D71" s="20"/>
      <c r="E71" s="20"/>
      <c r="F71" s="20"/>
      <c r="G71" s="20"/>
      <c r="H71" s="19"/>
      <c r="I71" s="21"/>
    </row>
    <row r="72" spans="1:9" x14ac:dyDescent="0.25">
      <c r="A72" s="19" t="s">
        <v>126</v>
      </c>
      <c r="B72" s="19" t="s">
        <v>127</v>
      </c>
      <c r="C72" s="20"/>
      <c r="D72" s="20"/>
      <c r="E72" s="20"/>
      <c r="F72" s="20"/>
      <c r="G72" s="20"/>
      <c r="H72" s="19"/>
      <c r="I72" s="21"/>
    </row>
    <row r="73" spans="1:9" x14ac:dyDescent="0.25">
      <c r="A73" s="19" t="s">
        <v>128</v>
      </c>
      <c r="B73" s="19" t="s">
        <v>129</v>
      </c>
      <c r="C73" s="20"/>
      <c r="D73" s="20"/>
      <c r="E73" s="20"/>
      <c r="F73" s="20"/>
      <c r="G73" s="20"/>
      <c r="H73" s="19"/>
      <c r="I73" s="21"/>
    </row>
    <row r="74" spans="1:9" x14ac:dyDescent="0.25">
      <c r="A74" s="19" t="s">
        <v>130</v>
      </c>
      <c r="B74" s="19" t="s">
        <v>131</v>
      </c>
      <c r="C74" s="20"/>
      <c r="D74" s="20"/>
      <c r="E74" s="20"/>
      <c r="F74" s="20"/>
      <c r="G74" s="20"/>
      <c r="H74" s="19"/>
      <c r="I74" s="21"/>
    </row>
    <row r="75" spans="1:9" x14ac:dyDescent="0.25">
      <c r="A75" s="19" t="s">
        <v>132</v>
      </c>
      <c r="B75" s="19" t="s">
        <v>133</v>
      </c>
      <c r="C75" s="20"/>
      <c r="D75" s="20"/>
      <c r="E75" s="20"/>
      <c r="F75" s="20"/>
      <c r="G75" s="20"/>
      <c r="H75" s="19"/>
      <c r="I75" s="21"/>
    </row>
    <row r="76" spans="1:9" x14ac:dyDescent="0.25">
      <c r="A76" s="19" t="s">
        <v>134</v>
      </c>
      <c r="B76" s="19" t="s">
        <v>135</v>
      </c>
      <c r="C76" s="20"/>
      <c r="D76" s="20"/>
      <c r="E76" s="20"/>
      <c r="F76" s="20"/>
      <c r="G76" s="20"/>
      <c r="H76" s="19"/>
      <c r="I76" s="21"/>
    </row>
    <row r="77" spans="1:9" x14ac:dyDescent="0.25">
      <c r="A77" s="19" t="s">
        <v>136</v>
      </c>
      <c r="B77" s="19" t="s">
        <v>60</v>
      </c>
      <c r="C77" s="20"/>
      <c r="D77" s="20"/>
      <c r="E77" s="20"/>
      <c r="F77" s="20"/>
      <c r="G77" s="20"/>
      <c r="H77" s="19"/>
      <c r="I77" s="21"/>
    </row>
    <row r="78" spans="1:9" x14ac:dyDescent="0.25">
      <c r="A78" s="19"/>
      <c r="B78" s="19"/>
      <c r="C78" s="20"/>
      <c r="D78" s="20"/>
      <c r="E78" s="20"/>
      <c r="F78" s="20"/>
      <c r="G78" s="20"/>
      <c r="H78" s="19"/>
      <c r="I78" s="21"/>
    </row>
    <row r="79" spans="1:9" x14ac:dyDescent="0.25">
      <c r="A79" s="19"/>
      <c r="B79" s="22" t="s">
        <v>61</v>
      </c>
      <c r="C79" s="20">
        <f>SUM(C68:C78)</f>
        <v>0</v>
      </c>
      <c r="D79" s="20">
        <f>SUM(D68:D78)</f>
        <v>0</v>
      </c>
      <c r="E79" s="20">
        <f>SUM(E68:E78)</f>
        <v>0</v>
      </c>
      <c r="F79" s="20"/>
      <c r="G79" s="20"/>
      <c r="H79" s="19"/>
      <c r="I79" s="21"/>
    </row>
    <row r="80" spans="1:9" x14ac:dyDescent="0.25">
      <c r="A80" s="23" t="s">
        <v>137</v>
      </c>
      <c r="B80" s="24" t="s">
        <v>138</v>
      </c>
      <c r="C80" s="25"/>
      <c r="D80" s="25"/>
      <c r="E80" s="25"/>
      <c r="F80" s="25"/>
      <c r="G80" s="25"/>
      <c r="H80" s="26"/>
      <c r="I80" s="18"/>
    </row>
    <row r="81" spans="1:9" x14ac:dyDescent="0.25">
      <c r="A81" s="19" t="s">
        <v>139</v>
      </c>
      <c r="B81" s="19" t="s">
        <v>44</v>
      </c>
      <c r="C81" s="20"/>
      <c r="D81" s="20"/>
      <c r="E81" s="20"/>
      <c r="F81" s="20"/>
      <c r="G81" s="20"/>
      <c r="H81" s="19" t="s">
        <v>54</v>
      </c>
      <c r="I81" s="21"/>
    </row>
    <row r="82" spans="1:9" x14ac:dyDescent="0.25">
      <c r="A82" s="19" t="s">
        <v>140</v>
      </c>
      <c r="B82" s="19" t="s">
        <v>66</v>
      </c>
      <c r="C82" s="20"/>
      <c r="D82" s="20"/>
      <c r="E82" s="20"/>
      <c r="F82" s="20"/>
      <c r="G82" s="20"/>
      <c r="H82" s="19"/>
      <c r="I82" s="21"/>
    </row>
    <row r="83" spans="1:9" x14ac:dyDescent="0.25">
      <c r="A83" s="19" t="s">
        <v>141</v>
      </c>
      <c r="B83" s="19" t="s">
        <v>34</v>
      </c>
      <c r="C83" s="20"/>
      <c r="D83" s="20"/>
      <c r="E83" s="20"/>
      <c r="F83" s="20"/>
      <c r="G83" s="20"/>
      <c r="H83" s="19"/>
      <c r="I83" s="21"/>
    </row>
    <row r="84" spans="1:9" x14ac:dyDescent="0.25">
      <c r="A84" s="19" t="s">
        <v>142</v>
      </c>
      <c r="B84" s="19" t="s">
        <v>56</v>
      </c>
      <c r="C84" s="20"/>
      <c r="D84" s="20"/>
      <c r="E84" s="20"/>
      <c r="F84" s="20"/>
      <c r="G84" s="20"/>
      <c r="H84" s="19"/>
      <c r="I84" s="21"/>
    </row>
    <row r="85" spans="1:9" x14ac:dyDescent="0.25">
      <c r="A85" s="19" t="s">
        <v>143</v>
      </c>
      <c r="B85" s="19" t="s">
        <v>41</v>
      </c>
      <c r="C85" s="20"/>
      <c r="D85" s="20"/>
      <c r="E85" s="20"/>
      <c r="F85" s="20"/>
      <c r="G85" s="20"/>
      <c r="H85" s="19"/>
      <c r="I85" s="21"/>
    </row>
    <row r="86" spans="1:9" x14ac:dyDescent="0.25">
      <c r="A86" s="19" t="s">
        <v>144</v>
      </c>
      <c r="B86" s="19" t="s">
        <v>145</v>
      </c>
      <c r="C86" s="20"/>
      <c r="D86" s="20"/>
      <c r="E86" s="20"/>
      <c r="F86" s="20"/>
      <c r="G86" s="20"/>
      <c r="H86" s="19"/>
      <c r="I86" s="21"/>
    </row>
    <row r="87" spans="1:9" x14ac:dyDescent="0.25">
      <c r="A87" s="19" t="s">
        <v>146</v>
      </c>
      <c r="B87" s="19" t="s">
        <v>147</v>
      </c>
      <c r="C87" s="20"/>
      <c r="D87" s="20"/>
      <c r="E87" s="20"/>
      <c r="F87" s="20"/>
      <c r="G87" s="20"/>
      <c r="H87" s="19"/>
      <c r="I87" s="21"/>
    </row>
    <row r="88" spans="1:9" x14ac:dyDescent="0.25">
      <c r="A88" s="19" t="s">
        <v>28</v>
      </c>
      <c r="B88" s="19" t="s">
        <v>45</v>
      </c>
      <c r="C88" s="20"/>
      <c r="D88" s="20"/>
      <c r="E88" s="20"/>
      <c r="F88" s="20"/>
      <c r="G88" s="20"/>
      <c r="H88" s="19"/>
      <c r="I88" s="21"/>
    </row>
    <row r="89" spans="1:9" x14ac:dyDescent="0.25">
      <c r="A89" s="19" t="s">
        <v>23</v>
      </c>
      <c r="B89" s="19" t="s">
        <v>42</v>
      </c>
      <c r="C89" s="20"/>
      <c r="D89" s="20"/>
      <c r="E89" s="20"/>
      <c r="F89" s="20"/>
      <c r="G89" s="20"/>
      <c r="H89" s="19"/>
      <c r="I89" s="21"/>
    </row>
    <row r="90" spans="1:9" x14ac:dyDescent="0.25">
      <c r="A90" s="19" t="s">
        <v>22</v>
      </c>
      <c r="B90" s="19" t="s">
        <v>60</v>
      </c>
      <c r="C90" s="20"/>
      <c r="D90" s="20"/>
      <c r="E90" s="20"/>
      <c r="F90" s="20"/>
      <c r="G90" s="20"/>
      <c r="H90" s="19"/>
      <c r="I90" s="21"/>
    </row>
    <row r="91" spans="1:9" x14ac:dyDescent="0.25">
      <c r="A91" s="19"/>
      <c r="B91" s="19"/>
      <c r="C91" s="20"/>
      <c r="D91" s="20"/>
      <c r="E91" s="20"/>
      <c r="F91" s="20"/>
      <c r="G91" s="20"/>
      <c r="H91" s="19"/>
      <c r="I91" s="21"/>
    </row>
    <row r="92" spans="1:9" x14ac:dyDescent="0.25">
      <c r="A92" s="19"/>
      <c r="B92" s="22" t="s">
        <v>61</v>
      </c>
      <c r="C92" s="20">
        <f>SUM(C81:C91)</f>
        <v>0</v>
      </c>
      <c r="D92" s="20">
        <f>SUM(D81:D91)</f>
        <v>0</v>
      </c>
      <c r="E92" s="20">
        <f>SUM(E81:E91)</f>
        <v>0</v>
      </c>
      <c r="F92" s="20"/>
      <c r="G92" s="20"/>
      <c r="H92" s="19"/>
      <c r="I92" s="21"/>
    </row>
    <row r="93" spans="1:9" x14ac:dyDescent="0.25">
      <c r="A93" s="23" t="s">
        <v>148</v>
      </c>
      <c r="B93" s="24" t="s">
        <v>149</v>
      </c>
      <c r="C93" s="25"/>
      <c r="D93" s="25"/>
      <c r="E93" s="25"/>
      <c r="F93" s="25"/>
      <c r="G93" s="25"/>
      <c r="H93" s="26"/>
      <c r="I93" s="18"/>
    </row>
    <row r="94" spans="1:9" x14ac:dyDescent="0.25">
      <c r="A94" s="19" t="s">
        <v>27</v>
      </c>
      <c r="B94" s="19" t="s">
        <v>44</v>
      </c>
      <c r="C94" s="20"/>
      <c r="D94" s="20"/>
      <c r="E94" s="20"/>
      <c r="F94" s="20"/>
      <c r="G94" s="20"/>
      <c r="H94" s="19" t="s">
        <v>54</v>
      </c>
      <c r="I94" s="21"/>
    </row>
    <row r="95" spans="1:9" x14ac:dyDescent="0.25">
      <c r="A95" s="19" t="s">
        <v>150</v>
      </c>
      <c r="B95" s="19" t="s">
        <v>66</v>
      </c>
      <c r="C95" s="20"/>
      <c r="D95" s="20"/>
      <c r="E95" s="20"/>
      <c r="F95" s="20"/>
      <c r="G95" s="20"/>
      <c r="H95" s="19"/>
      <c r="I95" s="21"/>
    </row>
    <row r="96" spans="1:9" x14ac:dyDescent="0.25">
      <c r="A96" s="19" t="s">
        <v>151</v>
      </c>
      <c r="B96" s="19" t="s">
        <v>34</v>
      </c>
      <c r="C96" s="20"/>
      <c r="D96" s="20"/>
      <c r="E96" s="20"/>
      <c r="F96" s="20"/>
      <c r="G96" s="20"/>
      <c r="H96" s="19"/>
      <c r="I96" s="21"/>
    </row>
    <row r="97" spans="1:9" x14ac:dyDescent="0.25">
      <c r="A97" s="19" t="s">
        <v>152</v>
      </c>
      <c r="B97" s="19" t="s">
        <v>56</v>
      </c>
      <c r="C97" s="20"/>
      <c r="D97" s="20"/>
      <c r="E97" s="20"/>
      <c r="F97" s="20"/>
      <c r="G97" s="20"/>
      <c r="H97" s="19"/>
      <c r="I97" s="21"/>
    </row>
    <row r="98" spans="1:9" x14ac:dyDescent="0.25">
      <c r="A98" s="19" t="s">
        <v>21</v>
      </c>
      <c r="B98" s="19" t="s">
        <v>41</v>
      </c>
      <c r="C98" s="20"/>
      <c r="D98" s="20"/>
      <c r="E98" s="20"/>
      <c r="F98" s="20"/>
      <c r="G98" s="20"/>
      <c r="H98" s="19"/>
      <c r="I98" s="21"/>
    </row>
    <row r="99" spans="1:9" x14ac:dyDescent="0.25">
      <c r="A99" s="19" t="s">
        <v>18</v>
      </c>
      <c r="B99" s="19" t="s">
        <v>39</v>
      </c>
      <c r="C99" s="20"/>
      <c r="D99" s="20"/>
      <c r="E99" s="20"/>
      <c r="F99" s="20"/>
      <c r="G99" s="20"/>
      <c r="H99" s="19"/>
      <c r="I99" s="21"/>
    </row>
    <row r="100" spans="1:9" x14ac:dyDescent="0.25">
      <c r="A100" s="19" t="s">
        <v>7</v>
      </c>
      <c r="B100" s="19" t="s">
        <v>30</v>
      </c>
      <c r="C100" s="20"/>
      <c r="D100" s="20"/>
      <c r="E100" s="20"/>
      <c r="F100" s="20"/>
      <c r="G100" s="20"/>
      <c r="H100" s="19"/>
      <c r="I100" s="21"/>
    </row>
    <row r="101" spans="1:9" x14ac:dyDescent="0.25">
      <c r="A101" s="19" t="s">
        <v>153</v>
      </c>
      <c r="B101" s="19" t="s">
        <v>154</v>
      </c>
      <c r="C101" s="20"/>
      <c r="D101" s="20"/>
      <c r="E101" s="20"/>
      <c r="F101" s="20"/>
      <c r="G101" s="20"/>
      <c r="H101" s="19"/>
      <c r="I101" s="21"/>
    </row>
    <row r="102" spans="1:9" x14ac:dyDescent="0.25">
      <c r="A102" s="19" t="s">
        <v>26</v>
      </c>
      <c r="B102" s="19" t="s">
        <v>43</v>
      </c>
      <c r="C102" s="20"/>
      <c r="D102" s="20"/>
      <c r="E102" s="20"/>
      <c r="F102" s="20"/>
      <c r="G102" s="20"/>
      <c r="H102" s="19" t="s">
        <v>54</v>
      </c>
      <c r="I102" s="21"/>
    </row>
    <row r="103" spans="1:9" x14ac:dyDescent="0.25">
      <c r="A103" s="19" t="s">
        <v>8</v>
      </c>
      <c r="B103" s="19" t="s">
        <v>60</v>
      </c>
      <c r="C103" s="20"/>
      <c r="D103" s="20"/>
      <c r="E103" s="20"/>
      <c r="F103" s="20"/>
      <c r="G103" s="20"/>
      <c r="H103" s="19"/>
      <c r="I103" s="21"/>
    </row>
    <row r="104" spans="1:9" x14ac:dyDescent="0.25">
      <c r="A104" s="19"/>
      <c r="B104" s="19"/>
      <c r="C104" s="20"/>
      <c r="D104" s="20"/>
      <c r="E104" s="20"/>
      <c r="F104" s="20"/>
      <c r="G104" s="20"/>
      <c r="H104" s="19"/>
      <c r="I104" s="21"/>
    </row>
    <row r="105" spans="1:9" x14ac:dyDescent="0.25">
      <c r="A105" s="19"/>
      <c r="B105" s="22" t="s">
        <v>61</v>
      </c>
      <c r="C105" s="20">
        <f>SUM(C94:C104)</f>
        <v>0</v>
      </c>
      <c r="D105" s="20">
        <f>SUM(D94:D104)</f>
        <v>0</v>
      </c>
      <c r="E105" s="20">
        <f>SUM(E94:E104)</f>
        <v>0</v>
      </c>
      <c r="F105" s="20"/>
      <c r="G105" s="20"/>
      <c r="H105" s="19"/>
      <c r="I105" s="21"/>
    </row>
    <row r="106" spans="1:9" x14ac:dyDescent="0.25">
      <c r="A106" s="23" t="s">
        <v>155</v>
      </c>
      <c r="B106" s="24" t="s">
        <v>156</v>
      </c>
      <c r="C106" s="25"/>
      <c r="D106" s="25"/>
      <c r="E106" s="25"/>
      <c r="F106" s="25"/>
      <c r="G106" s="25"/>
      <c r="H106" s="26"/>
      <c r="I106" s="21"/>
    </row>
    <row r="107" spans="1:9" x14ac:dyDescent="0.25">
      <c r="A107" s="19" t="s">
        <v>157</v>
      </c>
      <c r="B107" s="19" t="s">
        <v>44</v>
      </c>
      <c r="C107" s="20"/>
      <c r="D107" s="20"/>
      <c r="E107" s="20"/>
      <c r="F107" s="20"/>
      <c r="G107" s="20"/>
      <c r="H107" s="19" t="s">
        <v>54</v>
      </c>
      <c r="I107" s="21"/>
    </row>
    <row r="108" spans="1:9" x14ac:dyDescent="0.25">
      <c r="A108" s="19" t="s">
        <v>158</v>
      </c>
      <c r="B108" s="19" t="s">
        <v>66</v>
      </c>
      <c r="C108" s="20"/>
      <c r="D108" s="20"/>
      <c r="E108" s="20"/>
      <c r="F108" s="20"/>
      <c r="G108" s="20"/>
      <c r="H108" s="19"/>
      <c r="I108" s="21"/>
    </row>
    <row r="109" spans="1:9" x14ac:dyDescent="0.25">
      <c r="A109" s="19" t="s">
        <v>159</v>
      </c>
      <c r="B109" s="19" t="s">
        <v>34</v>
      </c>
      <c r="C109" s="20"/>
      <c r="D109" s="20"/>
      <c r="E109" s="20"/>
      <c r="F109" s="20"/>
      <c r="G109" s="20"/>
      <c r="H109" s="19"/>
      <c r="I109" s="21"/>
    </row>
    <row r="110" spans="1:9" x14ac:dyDescent="0.25">
      <c r="A110" s="19" t="s">
        <v>160</v>
      </c>
      <c r="B110" s="19" t="s">
        <v>56</v>
      </c>
      <c r="C110" s="20"/>
      <c r="D110" s="20"/>
      <c r="E110" s="20"/>
      <c r="F110" s="20"/>
      <c r="G110" s="20"/>
      <c r="H110" s="19"/>
      <c r="I110" s="21"/>
    </row>
    <row r="111" spans="1:9" x14ac:dyDescent="0.25">
      <c r="A111" s="19" t="s">
        <v>161</v>
      </c>
      <c r="B111" s="19" t="s">
        <v>162</v>
      </c>
      <c r="C111" s="20"/>
      <c r="D111" s="20"/>
      <c r="E111" s="20"/>
      <c r="F111" s="20"/>
      <c r="G111" s="20"/>
      <c r="H111" s="19"/>
      <c r="I111" s="21"/>
    </row>
    <row r="112" spans="1:9" x14ac:dyDescent="0.25">
      <c r="A112" s="19" t="s">
        <v>163</v>
      </c>
      <c r="B112" s="19" t="s">
        <v>164</v>
      </c>
      <c r="C112" s="20"/>
      <c r="D112" s="20"/>
      <c r="E112" s="20"/>
      <c r="F112" s="20"/>
      <c r="G112" s="20"/>
      <c r="H112" s="19"/>
      <c r="I112" s="21"/>
    </row>
    <row r="113" spans="1:9" x14ac:dyDescent="0.25">
      <c r="A113" s="19" t="s">
        <v>165</v>
      </c>
      <c r="B113" s="19" t="s">
        <v>166</v>
      </c>
      <c r="C113" s="20"/>
      <c r="D113" s="20"/>
      <c r="E113" s="20"/>
      <c r="F113" s="20"/>
      <c r="G113" s="20"/>
      <c r="H113" s="19"/>
      <c r="I113" s="21"/>
    </row>
    <row r="114" spans="1:9" x14ac:dyDescent="0.25">
      <c r="A114" s="19" t="s">
        <v>167</v>
      </c>
      <c r="B114" s="19" t="s">
        <v>168</v>
      </c>
      <c r="C114" s="20"/>
      <c r="D114" s="20"/>
      <c r="E114" s="20"/>
      <c r="F114" s="20"/>
      <c r="G114" s="20"/>
      <c r="H114" s="19"/>
      <c r="I114" s="21"/>
    </row>
    <row r="115" spans="1:9" x14ac:dyDescent="0.25">
      <c r="A115" s="19" t="s">
        <v>169</v>
      </c>
      <c r="B115" s="19" t="s">
        <v>170</v>
      </c>
      <c r="C115" s="20"/>
      <c r="D115" s="20"/>
      <c r="E115" s="20"/>
      <c r="F115" s="20"/>
      <c r="G115" s="20"/>
      <c r="H115" s="19"/>
      <c r="I115" s="21"/>
    </row>
    <row r="116" spans="1:9" x14ac:dyDescent="0.25">
      <c r="A116" s="19" t="s">
        <v>171</v>
      </c>
      <c r="B116" s="19" t="s">
        <v>60</v>
      </c>
      <c r="C116" s="20"/>
      <c r="D116" s="20"/>
      <c r="E116" s="20"/>
      <c r="F116" s="20"/>
      <c r="G116" s="20"/>
      <c r="H116" s="19"/>
      <c r="I116" s="21"/>
    </row>
    <row r="117" spans="1:9" x14ac:dyDescent="0.25">
      <c r="A117" s="19"/>
      <c r="B117" s="19"/>
      <c r="C117" s="20"/>
      <c r="D117" s="20"/>
      <c r="E117" s="20"/>
      <c r="F117" s="20"/>
      <c r="G117" s="20"/>
      <c r="H117" s="19"/>
      <c r="I117" s="21"/>
    </row>
    <row r="118" spans="1:9" x14ac:dyDescent="0.25">
      <c r="A118" s="19"/>
      <c r="B118" s="22" t="s">
        <v>61</v>
      </c>
      <c r="C118" s="20">
        <f>SUM(C107:C117)</f>
        <v>0</v>
      </c>
      <c r="D118" s="20">
        <f>SUM(D107:D117)</f>
        <v>0</v>
      </c>
      <c r="E118" s="20">
        <f>SUM(E107:E117)</f>
        <v>0</v>
      </c>
      <c r="F118" s="20"/>
      <c r="G118" s="20"/>
      <c r="H118" s="19"/>
      <c r="I118" s="21"/>
    </row>
    <row r="119" spans="1:9" x14ac:dyDescent="0.25">
      <c r="A119" s="23" t="s">
        <v>172</v>
      </c>
      <c r="B119" s="24"/>
      <c r="C119" s="25"/>
      <c r="D119" s="25"/>
      <c r="E119" s="25"/>
      <c r="F119" s="25"/>
      <c r="G119" s="25"/>
      <c r="H119" s="26"/>
      <c r="I119" s="18"/>
    </row>
    <row r="120" spans="1:9" x14ac:dyDescent="0.25">
      <c r="A120" s="19" t="s">
        <v>173</v>
      </c>
      <c r="B120" s="19"/>
      <c r="C120" s="20"/>
      <c r="D120" s="20"/>
      <c r="E120" s="20"/>
      <c r="F120" s="20"/>
      <c r="G120" s="20"/>
      <c r="H120" s="19" t="s">
        <v>54</v>
      </c>
      <c r="I120" s="21"/>
    </row>
    <row r="121" spans="1:9" x14ac:dyDescent="0.25">
      <c r="A121" s="19" t="s">
        <v>174</v>
      </c>
      <c r="B121" s="19"/>
      <c r="C121" s="20"/>
      <c r="D121" s="20"/>
      <c r="E121" s="20"/>
      <c r="F121" s="20"/>
      <c r="G121" s="20"/>
      <c r="H121" s="19"/>
      <c r="I121" s="21"/>
    </row>
    <row r="122" spans="1:9" x14ac:dyDescent="0.25">
      <c r="A122" s="19" t="s">
        <v>175</v>
      </c>
      <c r="B122" s="19"/>
      <c r="C122" s="20"/>
      <c r="D122" s="20"/>
      <c r="E122" s="20"/>
      <c r="F122" s="20"/>
      <c r="G122" s="20"/>
      <c r="H122" s="19"/>
      <c r="I122" s="21"/>
    </row>
    <row r="123" spans="1:9" x14ac:dyDescent="0.25">
      <c r="A123" s="19" t="s">
        <v>176</v>
      </c>
      <c r="B123" s="19"/>
      <c r="C123" s="20"/>
      <c r="D123" s="20"/>
      <c r="E123" s="20"/>
      <c r="F123" s="20"/>
      <c r="G123" s="20"/>
      <c r="H123" s="19"/>
      <c r="I123" s="21"/>
    </row>
    <row r="124" spans="1:9" x14ac:dyDescent="0.25">
      <c r="A124" s="19" t="s">
        <v>177</v>
      </c>
      <c r="B124" s="19"/>
      <c r="C124" s="20"/>
      <c r="D124" s="20"/>
      <c r="E124" s="20"/>
      <c r="F124" s="20"/>
      <c r="G124" s="20"/>
      <c r="H124" s="19"/>
      <c r="I124" s="21"/>
    </row>
    <row r="125" spans="1:9" x14ac:dyDescent="0.25">
      <c r="A125" s="19" t="s">
        <v>178</v>
      </c>
      <c r="B125" s="19"/>
      <c r="C125" s="20"/>
      <c r="D125" s="20"/>
      <c r="E125" s="20" t="s">
        <v>82</v>
      </c>
      <c r="F125" s="20"/>
      <c r="G125" s="20"/>
      <c r="H125" s="19"/>
      <c r="I125" s="21"/>
    </row>
    <row r="126" spans="1:9" x14ac:dyDescent="0.25">
      <c r="A126" s="19" t="s">
        <v>179</v>
      </c>
      <c r="B126" s="19"/>
      <c r="C126" s="20"/>
      <c r="D126" s="20"/>
      <c r="E126" s="20"/>
      <c r="F126" s="20"/>
      <c r="G126" s="20"/>
      <c r="H126" s="19"/>
      <c r="I126" s="21"/>
    </row>
    <row r="127" spans="1:9" x14ac:dyDescent="0.25">
      <c r="A127" s="19" t="s">
        <v>180</v>
      </c>
      <c r="B127" s="19"/>
      <c r="C127" s="20"/>
      <c r="D127" s="20"/>
      <c r="E127" s="20"/>
      <c r="F127" s="20"/>
      <c r="G127" s="20"/>
      <c r="H127" s="19"/>
      <c r="I127" s="21"/>
    </row>
    <row r="128" spans="1:9" x14ac:dyDescent="0.25">
      <c r="A128" s="19" t="s">
        <v>181</v>
      </c>
      <c r="B128" s="19"/>
      <c r="C128" s="20"/>
      <c r="D128" s="20"/>
      <c r="E128" s="20"/>
      <c r="F128" s="20"/>
      <c r="G128" s="20"/>
      <c r="H128" s="19"/>
      <c r="I128" s="21"/>
    </row>
    <row r="129" spans="1:9" x14ac:dyDescent="0.25">
      <c r="A129" s="19" t="s">
        <v>182</v>
      </c>
      <c r="B129" s="19"/>
      <c r="C129" s="20"/>
      <c r="D129" s="20"/>
      <c r="E129" s="20"/>
      <c r="F129" s="20"/>
      <c r="G129" s="20"/>
      <c r="H129" s="19"/>
      <c r="I129" s="21"/>
    </row>
    <row r="130" spans="1:9" x14ac:dyDescent="0.25">
      <c r="A130" s="19"/>
      <c r="B130" s="22" t="s">
        <v>61</v>
      </c>
      <c r="C130" s="20">
        <f>SUM(C120:C129)</f>
        <v>0</v>
      </c>
      <c r="D130" s="20">
        <f>SUM(D120:D129)</f>
        <v>0</v>
      </c>
      <c r="E130" s="20">
        <f>SUM(E120:E129)</f>
        <v>0</v>
      </c>
      <c r="F130" s="20"/>
      <c r="G130" s="20"/>
      <c r="H130" s="19"/>
      <c r="I130" s="21"/>
    </row>
    <row r="131" spans="1:9" x14ac:dyDescent="0.25">
      <c r="A131" s="19"/>
      <c r="B131" s="19"/>
      <c r="C131" s="20"/>
      <c r="D131" s="20"/>
      <c r="E131" s="20"/>
      <c r="F131" s="20"/>
      <c r="G131" s="20"/>
      <c r="H131" s="19"/>
      <c r="I131" s="21"/>
    </row>
    <row r="132" spans="1:9" x14ac:dyDescent="0.25">
      <c r="A132" s="19" t="s">
        <v>186</v>
      </c>
      <c r="B132" s="19" t="s">
        <v>189</v>
      </c>
      <c r="C132" s="20"/>
      <c r="D132" s="20"/>
      <c r="E132" s="20"/>
      <c r="F132" s="20"/>
      <c r="G132" s="20"/>
      <c r="H132" s="19"/>
      <c r="I132" s="21"/>
    </row>
    <row r="133" spans="1:9" x14ac:dyDescent="0.25">
      <c r="A133" s="19" t="s">
        <v>193</v>
      </c>
      <c r="B133" s="19" t="s">
        <v>194</v>
      </c>
      <c r="C133" s="20"/>
      <c r="D133" s="20"/>
      <c r="E133" s="20"/>
      <c r="F133" s="20"/>
      <c r="G133" s="20"/>
      <c r="H133" s="19"/>
      <c r="I133" s="21"/>
    </row>
    <row r="134" spans="1:9" x14ac:dyDescent="0.25">
      <c r="A134" s="19" t="s">
        <v>195</v>
      </c>
      <c r="B134" s="19" t="s">
        <v>196</v>
      </c>
      <c r="C134" s="20"/>
      <c r="D134" s="20"/>
      <c r="E134" s="20"/>
      <c r="F134" s="20"/>
      <c r="G134" s="20"/>
      <c r="H134" s="19"/>
      <c r="I134" s="21"/>
    </row>
    <row r="135" spans="1:9" x14ac:dyDescent="0.25">
      <c r="A135" s="19"/>
      <c r="B135" s="19"/>
      <c r="C135" s="20"/>
      <c r="D135" s="20"/>
      <c r="E135" s="20"/>
      <c r="F135" s="20"/>
      <c r="G135" s="20"/>
      <c r="H135" s="19"/>
      <c r="I135" s="21"/>
    </row>
    <row r="136" spans="1:9" x14ac:dyDescent="0.25">
      <c r="A136" s="19"/>
      <c r="B136" s="31" t="s">
        <v>183</v>
      </c>
      <c r="C136" s="32">
        <f>C14+C27+C53+C40+C66+C79+C92+C105+C118+C130</f>
        <v>0</v>
      </c>
      <c r="D136" s="32">
        <f>D14+D27+D53+D40+D66+D79+D92+D105+D130</f>
        <v>0</v>
      </c>
      <c r="E136" s="32">
        <f>E14+E27+E53+E40+E66+E79+E92+E105+E130</f>
        <v>0</v>
      </c>
      <c r="F136" s="32"/>
      <c r="G136" s="32"/>
      <c r="H136" s="30"/>
      <c r="I136" s="33"/>
    </row>
    <row r="137" spans="1:9" x14ac:dyDescent="0.25">
      <c r="A137" s="19"/>
      <c r="B137" s="21"/>
      <c r="C137" s="21"/>
      <c r="D137" s="21"/>
      <c r="E137" s="21"/>
      <c r="F137" s="21"/>
      <c r="G137" s="21"/>
      <c r="H137" s="21"/>
      <c r="I137" s="21"/>
    </row>
    <row r="138" spans="1:9" x14ac:dyDescent="0.25">
      <c r="A138" s="19"/>
    </row>
    <row r="139" spans="1:9" x14ac:dyDescent="0.25">
      <c r="A139" s="19"/>
    </row>
    <row r="140" spans="1:9" x14ac:dyDescent="0.25">
      <c r="A140" s="19"/>
    </row>
    <row r="141" spans="1:9" x14ac:dyDescent="0.25">
      <c r="A141" s="19"/>
    </row>
    <row r="142" spans="1:9" x14ac:dyDescent="0.25">
      <c r="A142" s="19"/>
    </row>
    <row r="143" spans="1:9" x14ac:dyDescent="0.25">
      <c r="A143" s="19"/>
    </row>
    <row r="144" spans="1:9" x14ac:dyDescent="0.25">
      <c r="A144" s="19"/>
    </row>
    <row r="145" spans="1:1" x14ac:dyDescent="0.25">
      <c r="A145" s="19"/>
    </row>
    <row r="146" spans="1:1" x14ac:dyDescent="0.25">
      <c r="A146" s="19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7"/>
  <sheetViews>
    <sheetView zoomScale="60" zoomScaleNormal="60" workbookViewId="0">
      <selection activeCell="E15" sqref="E15"/>
    </sheetView>
  </sheetViews>
  <sheetFormatPr defaultRowHeight="16.2" x14ac:dyDescent="0.3"/>
  <cols>
    <col min="2" max="2" width="18.44140625" customWidth="1"/>
    <col min="3" max="3" width="55.44140625" customWidth="1"/>
    <col min="4" max="9" width="15.6640625" customWidth="1"/>
    <col min="10" max="10" width="17.109375" customWidth="1"/>
    <col min="11" max="11" width="15" customWidth="1"/>
    <col min="12" max="13" width="16.44140625" customWidth="1"/>
    <col min="14" max="14" width="15" customWidth="1"/>
    <col min="15" max="15" width="17.88671875" customWidth="1"/>
    <col min="16" max="16" width="16.33203125" bestFit="1" customWidth="1"/>
    <col min="17" max="17" width="14.77734375" bestFit="1" customWidth="1"/>
    <col min="18" max="18" width="16.33203125" bestFit="1" customWidth="1"/>
    <col min="19" max="19" width="14.77734375" bestFit="1" customWidth="1"/>
    <col min="20" max="20" width="16.33203125" bestFit="1" customWidth="1"/>
    <col min="21" max="21" width="23.109375" bestFit="1" customWidth="1"/>
    <col min="22" max="22" width="24.77734375" bestFit="1" customWidth="1"/>
  </cols>
  <sheetData>
    <row r="1" spans="2:15" ht="31.95" customHeight="1" x14ac:dyDescent="0.3">
      <c r="B1" s="44" t="s">
        <v>218</v>
      </c>
      <c r="C1" s="35"/>
    </row>
    <row r="2" spans="2:15" ht="31.95" customHeight="1" x14ac:dyDescent="0.3">
      <c r="B2" s="54"/>
      <c r="C2" s="55"/>
      <c r="D2" s="52" t="s">
        <v>204</v>
      </c>
      <c r="E2" s="52" t="s">
        <v>205</v>
      </c>
      <c r="F2" s="52" t="s">
        <v>206</v>
      </c>
      <c r="G2" s="52" t="s">
        <v>207</v>
      </c>
      <c r="H2" s="52" t="s">
        <v>208</v>
      </c>
      <c r="I2" s="52" t="s">
        <v>209</v>
      </c>
      <c r="J2" s="52" t="s">
        <v>210</v>
      </c>
      <c r="K2" s="52" t="s">
        <v>211</v>
      </c>
      <c r="L2" s="52" t="s">
        <v>212</v>
      </c>
      <c r="M2" s="52" t="s">
        <v>213</v>
      </c>
      <c r="N2" s="52" t="s">
        <v>217</v>
      </c>
      <c r="O2" s="52"/>
    </row>
    <row r="3" spans="2:15" x14ac:dyDescent="0.3">
      <c r="B3" s="56" t="s">
        <v>47</v>
      </c>
      <c r="D3" s="56" t="s">
        <v>190</v>
      </c>
    </row>
    <row r="4" spans="2:15" x14ac:dyDescent="0.3">
      <c r="B4" s="56" t="s">
        <v>191</v>
      </c>
      <c r="C4" s="56" t="s">
        <v>46</v>
      </c>
      <c r="D4" s="37">
        <v>1</v>
      </c>
      <c r="E4" s="37">
        <v>2</v>
      </c>
      <c r="F4" s="37">
        <v>3</v>
      </c>
      <c r="G4" s="37">
        <v>4</v>
      </c>
      <c r="H4" s="37">
        <v>5</v>
      </c>
      <c r="I4" s="37">
        <v>6</v>
      </c>
      <c r="J4" s="53" t="s">
        <v>192</v>
      </c>
    </row>
    <row r="5" spans="2:15" x14ac:dyDescent="0.3">
      <c r="B5" s="50" t="s">
        <v>9</v>
      </c>
      <c r="C5" s="50" t="s">
        <v>31</v>
      </c>
      <c r="D5" s="51">
        <v>486.43</v>
      </c>
      <c r="E5" s="51">
        <v>760.78</v>
      </c>
      <c r="F5" s="51">
        <v>1100.01</v>
      </c>
      <c r="G5" s="51">
        <v>756.53</v>
      </c>
      <c r="H5" s="51">
        <v>404.69</v>
      </c>
      <c r="I5" s="51">
        <v>1429.3899999999999</v>
      </c>
      <c r="J5" s="51">
        <v>4937.83</v>
      </c>
    </row>
    <row r="6" spans="2:15" x14ac:dyDescent="0.3">
      <c r="B6" s="50" t="s">
        <v>11</v>
      </c>
      <c r="C6" s="50" t="s">
        <v>33</v>
      </c>
      <c r="D6" s="51">
        <v>2000</v>
      </c>
      <c r="E6" s="51">
        <v>2000</v>
      </c>
      <c r="F6" s="51">
        <v>2000</v>
      </c>
      <c r="G6" s="51">
        <v>2000</v>
      </c>
      <c r="H6" s="51">
        <v>2000</v>
      </c>
      <c r="I6" s="51">
        <v>2000</v>
      </c>
      <c r="J6" s="51">
        <v>12000</v>
      </c>
    </row>
    <row r="7" spans="2:15" x14ac:dyDescent="0.3">
      <c r="B7" s="50" t="s">
        <v>22</v>
      </c>
      <c r="C7" s="50" t="s">
        <v>240</v>
      </c>
      <c r="D7" s="51"/>
      <c r="E7" s="51"/>
      <c r="F7" s="51">
        <v>110.55</v>
      </c>
      <c r="G7" s="51"/>
      <c r="H7" s="51"/>
      <c r="I7" s="51"/>
      <c r="J7" s="51">
        <v>110.55</v>
      </c>
    </row>
    <row r="8" spans="2:15" x14ac:dyDescent="0.3">
      <c r="B8" s="50" t="s">
        <v>18</v>
      </c>
      <c r="C8" s="50" t="s">
        <v>39</v>
      </c>
      <c r="D8" s="51"/>
      <c r="E8" s="51"/>
      <c r="F8" s="51">
        <v>400</v>
      </c>
      <c r="G8" s="51">
        <v>400</v>
      </c>
      <c r="H8" s="51"/>
      <c r="I8" s="51"/>
      <c r="J8" s="51">
        <v>800</v>
      </c>
    </row>
    <row r="9" spans="2:15" x14ac:dyDescent="0.3">
      <c r="B9" s="50" t="s">
        <v>8</v>
      </c>
      <c r="C9" s="50" t="s">
        <v>240</v>
      </c>
      <c r="D9" s="51"/>
      <c r="E9" s="51"/>
      <c r="F9" s="51"/>
      <c r="G9" s="51">
        <v>330.87</v>
      </c>
      <c r="H9" s="51">
        <v>260.47000000000003</v>
      </c>
      <c r="I9" s="51"/>
      <c r="J9" s="51">
        <v>591.34</v>
      </c>
    </row>
    <row r="10" spans="2:15" x14ac:dyDescent="0.3">
      <c r="B10" s="50" t="s">
        <v>140</v>
      </c>
      <c r="C10" s="96" t="s">
        <v>66</v>
      </c>
      <c r="D10" s="51"/>
      <c r="E10" s="51"/>
      <c r="F10" s="51">
        <v>556.34999999999991</v>
      </c>
      <c r="G10" s="51"/>
      <c r="H10" s="51"/>
      <c r="I10" s="51"/>
      <c r="J10" s="51">
        <v>556.34999999999991</v>
      </c>
    </row>
    <row r="11" spans="2:15" x14ac:dyDescent="0.3">
      <c r="B11" s="50" t="s">
        <v>57</v>
      </c>
      <c r="C11" s="96" t="s">
        <v>41</v>
      </c>
      <c r="D11" s="51"/>
      <c r="E11" s="51"/>
      <c r="F11" s="51">
        <v>21.46</v>
      </c>
      <c r="G11" s="51"/>
      <c r="H11" s="51"/>
      <c r="I11" s="51"/>
      <c r="J11" s="51">
        <v>21.46</v>
      </c>
    </row>
    <row r="12" spans="2:15" x14ac:dyDescent="0.3">
      <c r="B12" s="49" t="s">
        <v>192</v>
      </c>
      <c r="C12" s="37"/>
      <c r="D12" s="51">
        <v>2486.4299999999998</v>
      </c>
      <c r="E12" s="51">
        <v>2760.7799999999997</v>
      </c>
      <c r="F12" s="51">
        <v>4188.37</v>
      </c>
      <c r="G12" s="51">
        <v>3487.3999999999996</v>
      </c>
      <c r="H12" s="51">
        <v>2665.16</v>
      </c>
      <c r="I12" s="51">
        <v>3429.39</v>
      </c>
      <c r="J12" s="51">
        <v>19017.53</v>
      </c>
    </row>
    <row r="45" spans="13:13" x14ac:dyDescent="0.3">
      <c r="M45" s="57" t="s">
        <v>214</v>
      </c>
    </row>
    <row r="46" spans="13:13" x14ac:dyDescent="0.3">
      <c r="M46" s="57" t="s">
        <v>215</v>
      </c>
    </row>
    <row r="47" spans="13:13" x14ac:dyDescent="0.3">
      <c r="M47" s="57" t="s">
        <v>216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8"/>
  <sheetViews>
    <sheetView workbookViewId="0">
      <selection activeCell="D9" sqref="D9"/>
    </sheetView>
  </sheetViews>
  <sheetFormatPr defaultRowHeight="16.2" x14ac:dyDescent="0.3"/>
  <sheetData>
    <row r="1" spans="2:2" x14ac:dyDescent="0.3">
      <c r="B1" t="s">
        <v>199</v>
      </c>
    </row>
    <row r="2" spans="2:2" x14ac:dyDescent="0.3">
      <c r="B2" t="s">
        <v>200</v>
      </c>
    </row>
    <row r="3" spans="2:2" x14ac:dyDescent="0.3">
      <c r="B3" t="s">
        <v>187</v>
      </c>
    </row>
    <row r="5" spans="2:2" x14ac:dyDescent="0.3">
      <c r="B5" t="s">
        <v>188</v>
      </c>
    </row>
    <row r="7" spans="2:2" x14ac:dyDescent="0.3">
      <c r="B7" t="s">
        <v>201</v>
      </c>
    </row>
    <row r="8" spans="2:2" x14ac:dyDescent="0.3">
      <c r="B8" t="s">
        <v>198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支出明細</vt:lpstr>
      <vt:lpstr>樞紐分析表</vt:lpstr>
      <vt:lpstr>code</vt:lpstr>
      <vt:lpstr>各月累計支出</vt:lpstr>
      <vt:lpstr>Memo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2023-10-18T05:10:48Z</dcterms:created>
  <dcterms:modified xsi:type="dcterms:W3CDTF">2026-07-13T02:46:25Z</dcterms:modified>
</cp:coreProperties>
</file>